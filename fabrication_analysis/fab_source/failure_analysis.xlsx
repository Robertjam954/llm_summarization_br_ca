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james/Downloads/fab_source/"/>
    </mc:Choice>
  </mc:AlternateContent>
  <xr:revisionPtr revIDLastSave="0" documentId="8_{D89FF0C9-EDB4-1747-855B-16FAD70FF01A}" xr6:coauthVersionLast="47" xr6:coauthVersionMax="47" xr10:uidLastSave="{00000000-0000-0000-0000-000000000000}"/>
  <bookViews>
    <workbookView xWindow="8780" yWindow="4820" windowWidth="27240" windowHeight="16180" xr2:uid="{E6F640EF-E155-FD44-979E-A027980F07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8" i="1" l="1"/>
  <c r="C57" i="1"/>
  <c r="E45" i="1"/>
  <c r="E44" i="1"/>
  <c r="E43" i="1"/>
  <c r="E42" i="1"/>
  <c r="C37" i="1"/>
  <c r="D37" i="1" s="1"/>
  <c r="B37" i="1"/>
  <c r="D36" i="1"/>
  <c r="D35" i="1"/>
  <c r="D34" i="1"/>
  <c r="D33" i="1"/>
  <c r="D32" i="1"/>
  <c r="D31" i="1"/>
  <c r="D30" i="1"/>
  <c r="D29" i="1"/>
  <c r="D28" i="1"/>
  <c r="D27" i="1"/>
  <c r="D26" i="1"/>
  <c r="D25" i="1"/>
  <c r="B20" i="1"/>
  <c r="C19" i="1"/>
  <c r="C18" i="1"/>
  <c r="C17" i="1"/>
  <c r="C20" i="1" s="1"/>
  <c r="C16" i="1"/>
  <c r="C15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<sst xmlns="http://schemas.openxmlformats.org/spreadsheetml/2006/main" count="97" uniqueCount="72">
  <si>
    <t>AI Failure Analysis — what predicts AI=3 (severe error)?</t>
  </si>
  <si>
    <t>15 of 200 rows (7.5%) had at least one field where AI got a severe error (status=3). This sheet analyzes what features distinguish those 15 rows from the other 185.</t>
  </si>
  <si>
    <t>1. WHICH FIELDS THE AI FAILS ON</t>
  </si>
  <si>
    <t>Field</t>
  </si>
  <si>
    <t># severe errors (AI=3)</t>
  </si>
  <si>
    <t>% of all 16 failures</t>
  </si>
  <si>
    <t>Takeaway</t>
  </si>
  <si>
    <t>lesion_size</t>
  </si>
  <si>
    <t>lesion_size alone accounts for 31% of all severe AI errors. Numeric measurement fields (lesion_size, invasive_component_size_pathology) and clinical-judgment fields (workup_recommendation, receptor) dominate. The AI does NOT fail on simple categorical fields (laterality, location, lymph node).</t>
  </si>
  <si>
    <t>workup_recommendation</t>
  </si>
  <si>
    <t>invasive_component_size_pathology</t>
  </si>
  <si>
    <t>receptor</t>
  </si>
  <si>
    <t>extent</t>
  </si>
  <si>
    <t>accurate_clip_placement</t>
  </si>
  <si>
    <t>chronology_preserved</t>
  </si>
  <si>
    <t>biopsy_method</t>
  </si>
  <si>
    <t>histologic_diagnosis</t>
  </si>
  <si>
    <t>laterality</t>
  </si>
  <si>
    <t>lesion_location</t>
  </si>
  <si>
    <t>calcifications_asymmetry</t>
  </si>
  <si>
    <t>additional_enhancement_mri</t>
  </si>
  <si>
    <t>Lymph node</t>
  </si>
  <si>
    <t>TOTAL</t>
  </si>
  <si>
    <t>2. SURGEON — does failure cluster on specific surgeons?</t>
  </si>
  <si>
    <t>Surgeon</t>
  </si>
  <si>
    <t>n cases</t>
  </si>
  <si>
    <t>n failures</t>
  </si>
  <si>
    <t>Failure rate</t>
  </si>
  <si>
    <t>El-Tamer, Mahmoud</t>
  </si>
  <si>
    <t>Montag, Giacomo</t>
  </si>
  <si>
    <t>Barrio, Andrea</t>
  </si>
  <si>
    <t>Capko, Deborah</t>
  </si>
  <si>
    <t>Heerdt, Alexandra</t>
  </si>
  <si>
    <t>Kirstein, Laurie</t>
  </si>
  <si>
    <t>Lee, Min</t>
  </si>
  <si>
    <t>Moo, Tracy-Ann</t>
  </si>
  <si>
    <t>Pawloski, Kate</t>
  </si>
  <si>
    <t>Plitas, George</t>
  </si>
  <si>
    <t>Tadros, Audree</t>
  </si>
  <si>
    <t>(9 other surgeons)</t>
  </si>
  <si>
    <t>3. CASE CHARACTERISTICS</t>
  </si>
  <si>
    <t>Feature</t>
  </si>
  <si>
    <t>Group</t>
  </si>
  <si>
    <t>tumor_invasive_dcis</t>
  </si>
  <si>
    <t>1 (Invasive)</t>
  </si>
  <si>
    <t>2 (DCIS)</t>
  </si>
  <si>
    <t>complex_case_status</t>
  </si>
  <si>
    <t>0 (not complex)</t>
  </si>
  <si>
    <t>1 (complex)</t>
  </si>
  <si>
    <t>4. SOURCE-DATA AVAILABILITY (does the AI fail when source is missing fields?)</t>
  </si>
  <si>
    <t>Metric</t>
  </si>
  <si>
    <t>Fail rows (n=15)</t>
  </si>
  <si>
    <t>Pass rows (n=185)</t>
  </si>
  <si>
    <t>Avg # fields with source=0 (not in source data)</t>
  </si>
  <si>
    <t>Source-data completeness is NOT the issue — fail and pass rows have nearly identical numbers of missing source fields. The AI is not failing because data was unavailable; it had access and got it wrong.</t>
  </si>
  <si>
    <t>Avg # fields with human=2 (human noted minor issue)</t>
  </si>
  <si>
    <t>Avg # fields with AI=2 (AI minor issue)</t>
  </si>
  <si>
    <t>5. HUMAN-vs-AI DISAGREEMENT — does the human catch the same things?</t>
  </si>
  <si>
    <t>Of the 16 specific field-level severe errors flagged by AI (across 15 rows):</t>
  </si>
  <si>
    <t>Human rated same field as 1 (no issue) — i.e. AI uniquely flagged</t>
  </si>
  <si>
    <t>In 14 of 16 severe-error events, the human reviewer rated the same field as clean (status=1). Either the AI is hallucinating errors that don't exist (false positives), or the AI is catching real errors the human missed. Either way, these 16 disagreements are the highest-value review targets in the entire dataset.</t>
  </si>
  <si>
    <t>Human ALSO flagged same field (human=2 or 3)</t>
  </si>
  <si>
    <t>6. THE 16 DISAGREEMENT EVENTS (drill-down)</t>
  </si>
  <si>
    <t>Row</t>
  </si>
  <si>
    <t>Source</t>
  </si>
  <si>
    <t>Human</t>
  </si>
  <si>
    <t>AI</t>
  </si>
  <si>
    <t>BOTTOM LINE</t>
  </si>
  <si>
    <t>1. The AI's failure mode is specific, not random: 9 of 16 severe errors (56%) are on numeric measurement fields (lesion_size, invasive_component_size_pathology) or clinical-judgment fields (workup_recommendation, receptor). It does not fail on simple categoricals (laterality, location, lymph node).</t>
  </si>
  <si>
    <t>2. Failures cluster on two surgeons (El-Tamer 40%, Montag 20%) — accounting for 40% of all failures. Worth investigating: are these surgeons' note-writing styles harder to parse, or is the sample just small?</t>
  </si>
  <si>
    <t>3. Source-data completeness, case complexity, and tumor type are NOT meaningful predictors of AI failure. The AI's mistakes are not driven by missing input data.</t>
  </si>
  <si>
    <t>4. In 14 of 16 severe-error events, the human reviewer rated the same field as clean. These are the cases that most need a third look — to determine whether the AI is hallucinating errors or catching real ones the human missed.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</si>
</sst>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/>
    <xf numFmtId="0" fontId="4" fillId="0" borderId="0" xfId="0" applyFont="1"/>
    <xf numFmtId="9" fontId="0" fillId="0" borderId="0" xfId="0" applyNumberFormat="1"/>
    <xf numFmtId="9" fontId="4" fillId="0" borderId="0" xfId="0" applyNumberFormat="1" applyFont="1"/>
    <xf numFmtId="9" fontId="0" fillId="3" borderId="0" xfId="0" applyNumberFormat="1" applyFill="1"/>
    <xf numFmtId="9" fontId="0" fillId="4" borderId="0" xfId="0" applyNumberFormat="1" applyFill="1"/>
    <xf numFmtId="164" fontId="0" fillId="0" borderId="0" xfId="0" applyNumberFormat="1"/>
    <xf numFmtId="2" fontId="0" fillId="0" borderId="0" xfId="0" applyNumberFormat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CE8A-1280-A245-8094-09C96D933C1E}">
  <dimension ref="A1:E85"/>
  <sheetViews>
    <sheetView tabSelected="1" workbookViewId="0">
      <selection activeCell="H2" sqref="H2"/>
    </sheetView>
  </sheetViews>
  <sheetFormatPr baseColWidth="10" defaultRowHeight="16" x14ac:dyDescent="0.2"/>
  <sheetData>
    <row r="1" spans="1:5" ht="19" x14ac:dyDescent="0.25">
      <c r="A1" s="1" t="s">
        <v>0</v>
      </c>
    </row>
    <row r="2" spans="1:5" ht="272" x14ac:dyDescent="0.2">
      <c r="A2" s="2" t="s">
        <v>1</v>
      </c>
    </row>
    <row r="4" spans="1:5" x14ac:dyDescent="0.2">
      <c r="A4" s="3" t="s">
        <v>2</v>
      </c>
    </row>
    <row r="5" spans="1:5" x14ac:dyDescent="0.2">
      <c r="A5" t="s">
        <v>3</v>
      </c>
      <c r="B5" t="s">
        <v>4</v>
      </c>
      <c r="C5" t="s">
        <v>5</v>
      </c>
      <c r="E5" s="4" t="s">
        <v>6</v>
      </c>
    </row>
    <row r="6" spans="1:5" ht="409.6" x14ac:dyDescent="0.2">
      <c r="A6" t="s">
        <v>7</v>
      </c>
      <c r="B6">
        <v>5</v>
      </c>
      <c r="C6" s="5">
        <f>B6/SUM($B$6:$B$19)</f>
        <v>0.3125</v>
      </c>
      <c r="E6" s="2" t="s">
        <v>8</v>
      </c>
    </row>
    <row r="7" spans="1:5" x14ac:dyDescent="0.2">
      <c r="A7" t="s">
        <v>9</v>
      </c>
      <c r="B7">
        <v>2</v>
      </c>
      <c r="C7" s="5">
        <f>B7/SUM($B$6:$B$19)</f>
        <v>0.125</v>
      </c>
    </row>
    <row r="8" spans="1:5" x14ac:dyDescent="0.2">
      <c r="A8" t="s">
        <v>10</v>
      </c>
      <c r="B8">
        <v>2</v>
      </c>
      <c r="C8" s="5">
        <f>B8/SUM($B$6:$B$19)</f>
        <v>0.125</v>
      </c>
    </row>
    <row r="9" spans="1:5" x14ac:dyDescent="0.2">
      <c r="A9" t="s">
        <v>11</v>
      </c>
      <c r="B9">
        <v>2</v>
      </c>
      <c r="C9" s="5">
        <f>B9/SUM($B$6:$B$19)</f>
        <v>0.125</v>
      </c>
    </row>
    <row r="10" spans="1:5" x14ac:dyDescent="0.2">
      <c r="A10" t="s">
        <v>12</v>
      </c>
      <c r="B10">
        <v>1</v>
      </c>
      <c r="C10" s="5">
        <f>B10/SUM($B$6:$B$19)</f>
        <v>6.25E-2</v>
      </c>
    </row>
    <row r="11" spans="1:5" x14ac:dyDescent="0.2">
      <c r="A11" t="s">
        <v>13</v>
      </c>
      <c r="B11">
        <v>1</v>
      </c>
      <c r="C11" s="5">
        <f>B11/SUM($B$6:$B$19)</f>
        <v>6.25E-2</v>
      </c>
    </row>
    <row r="12" spans="1:5" x14ac:dyDescent="0.2">
      <c r="A12" t="s">
        <v>14</v>
      </c>
      <c r="B12">
        <v>1</v>
      </c>
      <c r="C12" s="5">
        <f>B12/SUM($B$6:$B$19)</f>
        <v>6.25E-2</v>
      </c>
    </row>
    <row r="13" spans="1:5" x14ac:dyDescent="0.2">
      <c r="A13" t="s">
        <v>15</v>
      </c>
      <c r="B13">
        <v>1</v>
      </c>
      <c r="C13" s="5">
        <f>B13/SUM($B$6:$B$19)</f>
        <v>6.25E-2</v>
      </c>
    </row>
    <row r="14" spans="1:5" x14ac:dyDescent="0.2">
      <c r="A14" t="s">
        <v>16</v>
      </c>
      <c r="B14">
        <v>1</v>
      </c>
      <c r="C14" s="5">
        <f>B14/SUM($B$6:$B$19)</f>
        <v>6.25E-2</v>
      </c>
    </row>
    <row r="15" spans="1:5" x14ac:dyDescent="0.2">
      <c r="A15" t="s">
        <v>17</v>
      </c>
      <c r="B15">
        <v>0</v>
      </c>
      <c r="C15" s="5">
        <f>B15/SUM($B$6:$B$19)</f>
        <v>0</v>
      </c>
    </row>
    <row r="16" spans="1:5" x14ac:dyDescent="0.2">
      <c r="A16" t="s">
        <v>18</v>
      </c>
      <c r="B16">
        <v>0</v>
      </c>
      <c r="C16" s="5">
        <f>B16/SUM($B$6:$B$19)</f>
        <v>0</v>
      </c>
    </row>
    <row r="17" spans="1:4" x14ac:dyDescent="0.2">
      <c r="A17" t="s">
        <v>19</v>
      </c>
      <c r="B17">
        <v>0</v>
      </c>
      <c r="C17" s="5">
        <f>B17/SUM($B$6:$B$19)</f>
        <v>0</v>
      </c>
    </row>
    <row r="18" spans="1:4" x14ac:dyDescent="0.2">
      <c r="A18" t="s">
        <v>20</v>
      </c>
      <c r="B18">
        <v>0</v>
      </c>
      <c r="C18" s="5">
        <f>B18/SUM($B$6:$B$19)</f>
        <v>0</v>
      </c>
    </row>
    <row r="19" spans="1:4" x14ac:dyDescent="0.2">
      <c r="A19" t="s">
        <v>21</v>
      </c>
      <c r="B19">
        <v>0</v>
      </c>
      <c r="C19" s="5">
        <f>B19/SUM($B$6:$B$19)</f>
        <v>0</v>
      </c>
    </row>
    <row r="20" spans="1:4" x14ac:dyDescent="0.2">
      <c r="A20" s="4" t="s">
        <v>22</v>
      </c>
      <c r="B20" s="4">
        <f>SUM(B6:B19)</f>
        <v>16</v>
      </c>
      <c r="C20" s="6">
        <f>SUM(C6:C19)</f>
        <v>1</v>
      </c>
    </row>
    <row r="23" spans="1:4" x14ac:dyDescent="0.2">
      <c r="A23" s="3" t="s">
        <v>23</v>
      </c>
    </row>
    <row r="24" spans="1:4" x14ac:dyDescent="0.2">
      <c r="A24" t="s">
        <v>24</v>
      </c>
      <c r="B24" t="s">
        <v>25</v>
      </c>
      <c r="C24" t="s">
        <v>26</v>
      </c>
      <c r="D24" t="s">
        <v>27</v>
      </c>
    </row>
    <row r="25" spans="1:4" x14ac:dyDescent="0.2">
      <c r="A25" t="s">
        <v>28</v>
      </c>
      <c r="B25">
        <v>10</v>
      </c>
      <c r="C25">
        <v>4</v>
      </c>
      <c r="D25" s="7">
        <f>C25/B25</f>
        <v>0.4</v>
      </c>
    </row>
    <row r="26" spans="1:4" x14ac:dyDescent="0.2">
      <c r="A26" t="s">
        <v>29</v>
      </c>
      <c r="B26">
        <v>10</v>
      </c>
      <c r="C26">
        <v>2</v>
      </c>
      <c r="D26" s="8">
        <f>C26/B26</f>
        <v>0.2</v>
      </c>
    </row>
    <row r="27" spans="1:4" x14ac:dyDescent="0.2">
      <c r="A27" t="s">
        <v>30</v>
      </c>
      <c r="B27">
        <v>10</v>
      </c>
      <c r="C27">
        <v>1</v>
      </c>
      <c r="D27" s="5">
        <f>C27/B27</f>
        <v>0.1</v>
      </c>
    </row>
    <row r="28" spans="1:4" x14ac:dyDescent="0.2">
      <c r="A28" t="s">
        <v>31</v>
      </c>
      <c r="B28">
        <v>10</v>
      </c>
      <c r="C28">
        <v>1</v>
      </c>
      <c r="D28" s="5">
        <f>C28/B28</f>
        <v>0.1</v>
      </c>
    </row>
    <row r="29" spans="1:4" x14ac:dyDescent="0.2">
      <c r="A29" t="s">
        <v>32</v>
      </c>
      <c r="B29">
        <v>10</v>
      </c>
      <c r="C29">
        <v>1</v>
      </c>
      <c r="D29" s="5">
        <f>C29/B29</f>
        <v>0.1</v>
      </c>
    </row>
    <row r="30" spans="1:4" x14ac:dyDescent="0.2">
      <c r="A30" t="s">
        <v>33</v>
      </c>
      <c r="B30">
        <v>10</v>
      </c>
      <c r="C30">
        <v>1</v>
      </c>
      <c r="D30" s="5">
        <f>C30/B30</f>
        <v>0.1</v>
      </c>
    </row>
    <row r="31" spans="1:4" x14ac:dyDescent="0.2">
      <c r="A31" t="s">
        <v>34</v>
      </c>
      <c r="B31">
        <v>10</v>
      </c>
      <c r="C31">
        <v>1</v>
      </c>
      <c r="D31" s="5">
        <f>C31/B31</f>
        <v>0.1</v>
      </c>
    </row>
    <row r="32" spans="1:4" x14ac:dyDescent="0.2">
      <c r="A32" t="s">
        <v>35</v>
      </c>
      <c r="B32">
        <v>10</v>
      </c>
      <c r="C32">
        <v>1</v>
      </c>
      <c r="D32" s="5">
        <f>C32/B32</f>
        <v>0.1</v>
      </c>
    </row>
    <row r="33" spans="1:5" x14ac:dyDescent="0.2">
      <c r="A33" t="s">
        <v>36</v>
      </c>
      <c r="B33">
        <v>10</v>
      </c>
      <c r="C33">
        <v>1</v>
      </c>
      <c r="D33" s="5">
        <f>C33/B33</f>
        <v>0.1</v>
      </c>
    </row>
    <row r="34" spans="1:5" x14ac:dyDescent="0.2">
      <c r="A34" t="s">
        <v>37</v>
      </c>
      <c r="B34">
        <v>10</v>
      </c>
      <c r="C34">
        <v>1</v>
      </c>
      <c r="D34" s="5">
        <f>C34/B34</f>
        <v>0.1</v>
      </c>
    </row>
    <row r="35" spans="1:5" x14ac:dyDescent="0.2">
      <c r="A35" t="s">
        <v>38</v>
      </c>
      <c r="B35">
        <v>10</v>
      </c>
      <c r="C35">
        <v>1</v>
      </c>
      <c r="D35" s="5">
        <f>C35/B35</f>
        <v>0.1</v>
      </c>
    </row>
    <row r="36" spans="1:5" x14ac:dyDescent="0.2">
      <c r="A36" t="s">
        <v>39</v>
      </c>
      <c r="B36">
        <v>90</v>
      </c>
      <c r="C36">
        <v>0</v>
      </c>
      <c r="D36" s="5">
        <f>C36/B36</f>
        <v>0</v>
      </c>
    </row>
    <row r="37" spans="1:5" x14ac:dyDescent="0.2">
      <c r="A37" s="4" t="s">
        <v>22</v>
      </c>
      <c r="B37" s="4">
        <f>SUM(B25:B36)</f>
        <v>200</v>
      </c>
      <c r="C37" s="4">
        <f>SUM(C25:C36)</f>
        <v>15</v>
      </c>
      <c r="D37" s="6">
        <f>C37/B37</f>
        <v>7.4999999999999997E-2</v>
      </c>
    </row>
    <row r="40" spans="1:5" x14ac:dyDescent="0.2">
      <c r="A40" s="3" t="s">
        <v>40</v>
      </c>
    </row>
    <row r="41" spans="1:5" x14ac:dyDescent="0.2">
      <c r="A41" t="s">
        <v>41</v>
      </c>
      <c r="B41" t="s">
        <v>42</v>
      </c>
      <c r="C41" t="s">
        <v>25</v>
      </c>
      <c r="D41" t="s">
        <v>26</v>
      </c>
      <c r="E41" t="s">
        <v>27</v>
      </c>
    </row>
    <row r="42" spans="1:5" x14ac:dyDescent="0.2">
      <c r="A42" t="s">
        <v>43</v>
      </c>
      <c r="B42" t="s">
        <v>44</v>
      </c>
      <c r="C42">
        <v>164</v>
      </c>
      <c r="D42">
        <v>11</v>
      </c>
      <c r="E42" s="9">
        <f>D42/C42</f>
        <v>6.7073170731707321E-2</v>
      </c>
    </row>
    <row r="43" spans="1:5" x14ac:dyDescent="0.2">
      <c r="A43" t="s">
        <v>43</v>
      </c>
      <c r="B43" t="s">
        <v>45</v>
      </c>
      <c r="C43">
        <v>36</v>
      </c>
      <c r="D43">
        <v>4</v>
      </c>
      <c r="E43" s="9">
        <f>D43/C43</f>
        <v>0.1111111111111111</v>
      </c>
    </row>
    <row r="44" spans="1:5" x14ac:dyDescent="0.2">
      <c r="A44" t="s">
        <v>46</v>
      </c>
      <c r="B44" t="s">
        <v>47</v>
      </c>
      <c r="C44">
        <v>162</v>
      </c>
      <c r="D44">
        <v>13</v>
      </c>
      <c r="E44" s="9">
        <f>D44/C44</f>
        <v>8.0246913580246909E-2</v>
      </c>
    </row>
    <row r="45" spans="1:5" x14ac:dyDescent="0.2">
      <c r="A45" t="s">
        <v>46</v>
      </c>
      <c r="B45" t="s">
        <v>48</v>
      </c>
      <c r="C45">
        <v>38</v>
      </c>
      <c r="D45">
        <v>2</v>
      </c>
      <c r="E45" s="9">
        <f>D45/C45</f>
        <v>5.2631578947368418E-2</v>
      </c>
    </row>
    <row r="48" spans="1:5" x14ac:dyDescent="0.2">
      <c r="A48" s="3" t="s">
        <v>49</v>
      </c>
    </row>
    <row r="49" spans="1:5" x14ac:dyDescent="0.2">
      <c r="A49" t="s">
        <v>50</v>
      </c>
      <c r="B49" t="s">
        <v>51</v>
      </c>
      <c r="C49" t="s">
        <v>52</v>
      </c>
      <c r="E49" s="4" t="s">
        <v>6</v>
      </c>
    </row>
    <row r="50" spans="1:5" ht="304" x14ac:dyDescent="0.2">
      <c r="A50" t="s">
        <v>53</v>
      </c>
      <c r="B50" s="10">
        <v>2.67</v>
      </c>
      <c r="C50" s="10">
        <v>2.4900000000000002</v>
      </c>
      <c r="E50" s="2" t="s">
        <v>54</v>
      </c>
    </row>
    <row r="51" spans="1:5" x14ac:dyDescent="0.2">
      <c r="A51" t="s">
        <v>55</v>
      </c>
      <c r="B51" s="10">
        <v>0.8</v>
      </c>
      <c r="C51" s="10">
        <v>1.36</v>
      </c>
    </row>
    <row r="52" spans="1:5" x14ac:dyDescent="0.2">
      <c r="A52" t="s">
        <v>56</v>
      </c>
      <c r="B52" s="10">
        <v>0.33</v>
      </c>
      <c r="C52" s="10">
        <v>0.39</v>
      </c>
    </row>
    <row r="55" spans="1:5" x14ac:dyDescent="0.2">
      <c r="A55" s="3" t="s">
        <v>57</v>
      </c>
    </row>
    <row r="56" spans="1:5" x14ac:dyDescent="0.2">
      <c r="A56" t="s">
        <v>58</v>
      </c>
      <c r="E56" s="4" t="s">
        <v>6</v>
      </c>
    </row>
    <row r="57" spans="1:5" ht="409.6" x14ac:dyDescent="0.2">
      <c r="A57" t="s">
        <v>59</v>
      </c>
      <c r="B57">
        <v>14</v>
      </c>
      <c r="C57" s="5">
        <f>B57/16</f>
        <v>0.875</v>
      </c>
      <c r="E57" s="2" t="s">
        <v>60</v>
      </c>
    </row>
    <row r="58" spans="1:5" x14ac:dyDescent="0.2">
      <c r="A58" t="s">
        <v>61</v>
      </c>
      <c r="B58">
        <v>2</v>
      </c>
      <c r="C58" s="5">
        <f>B58/16</f>
        <v>0.125</v>
      </c>
    </row>
    <row r="61" spans="1:5" x14ac:dyDescent="0.2">
      <c r="A61" s="3" t="s">
        <v>62</v>
      </c>
    </row>
    <row r="62" spans="1:5" x14ac:dyDescent="0.2">
      <c r="A62" t="s">
        <v>63</v>
      </c>
      <c r="B62" t="s">
        <v>3</v>
      </c>
      <c r="C62" t="s">
        <v>64</v>
      </c>
      <c r="D62" t="s">
        <v>65</v>
      </c>
      <c r="E62" t="s">
        <v>66</v>
      </c>
    </row>
    <row r="63" spans="1:5" x14ac:dyDescent="0.2">
      <c r="A63">
        <v>13</v>
      </c>
      <c r="B63" t="s">
        <v>13</v>
      </c>
      <c r="C63">
        <v>1</v>
      </c>
      <c r="D63">
        <v>1</v>
      </c>
      <c r="E63">
        <v>3</v>
      </c>
    </row>
    <row r="64" spans="1:5" x14ac:dyDescent="0.2">
      <c r="A64">
        <v>32</v>
      </c>
      <c r="B64" t="s">
        <v>16</v>
      </c>
      <c r="C64">
        <v>1</v>
      </c>
      <c r="D64">
        <v>1</v>
      </c>
      <c r="E64">
        <v>3</v>
      </c>
    </row>
    <row r="65" spans="1:5" x14ac:dyDescent="0.2">
      <c r="A65">
        <v>63</v>
      </c>
      <c r="B65" t="s">
        <v>9</v>
      </c>
      <c r="C65">
        <v>1</v>
      </c>
      <c r="D65">
        <v>1</v>
      </c>
      <c r="E65">
        <v>3</v>
      </c>
    </row>
    <row r="66" spans="1:5" x14ac:dyDescent="0.2">
      <c r="A66">
        <v>64</v>
      </c>
      <c r="B66" t="s">
        <v>12</v>
      </c>
      <c r="C66">
        <v>1</v>
      </c>
      <c r="D66">
        <v>1</v>
      </c>
      <c r="E66">
        <v>3</v>
      </c>
    </row>
    <row r="67" spans="1:5" x14ac:dyDescent="0.2">
      <c r="A67">
        <v>67</v>
      </c>
      <c r="B67" t="s">
        <v>7</v>
      </c>
      <c r="C67">
        <v>1</v>
      </c>
      <c r="D67">
        <v>1</v>
      </c>
      <c r="E67">
        <v>3</v>
      </c>
    </row>
    <row r="68" spans="1:5" x14ac:dyDescent="0.2">
      <c r="A68">
        <v>71</v>
      </c>
      <c r="B68" t="s">
        <v>7</v>
      </c>
      <c r="C68">
        <v>1</v>
      </c>
      <c r="D68">
        <v>1</v>
      </c>
      <c r="E68">
        <v>3</v>
      </c>
    </row>
    <row r="69" spans="1:5" x14ac:dyDescent="0.2">
      <c r="A69">
        <v>71</v>
      </c>
      <c r="B69" t="s">
        <v>9</v>
      </c>
      <c r="C69">
        <v>1</v>
      </c>
      <c r="D69">
        <v>1</v>
      </c>
      <c r="E69">
        <v>3</v>
      </c>
    </row>
    <row r="70" spans="1:5" x14ac:dyDescent="0.2">
      <c r="A70">
        <v>95</v>
      </c>
      <c r="B70" t="s">
        <v>7</v>
      </c>
      <c r="C70">
        <v>1</v>
      </c>
      <c r="D70">
        <v>1</v>
      </c>
      <c r="E70">
        <v>3</v>
      </c>
    </row>
    <row r="71" spans="1:5" x14ac:dyDescent="0.2">
      <c r="A71">
        <v>104</v>
      </c>
      <c r="B71" t="s">
        <v>7</v>
      </c>
      <c r="C71">
        <v>1</v>
      </c>
      <c r="D71">
        <v>1</v>
      </c>
      <c r="E71">
        <v>3</v>
      </c>
    </row>
    <row r="72" spans="1:5" x14ac:dyDescent="0.2">
      <c r="A72">
        <v>118</v>
      </c>
      <c r="B72" t="s">
        <v>10</v>
      </c>
      <c r="C72">
        <v>1</v>
      </c>
      <c r="D72">
        <v>2</v>
      </c>
      <c r="E72" s="11">
        <v>3</v>
      </c>
    </row>
    <row r="73" spans="1:5" x14ac:dyDescent="0.2">
      <c r="A73">
        <v>135</v>
      </c>
      <c r="B73" t="s">
        <v>11</v>
      </c>
      <c r="C73">
        <v>1</v>
      </c>
      <c r="D73">
        <v>1</v>
      </c>
      <c r="E73">
        <v>3</v>
      </c>
    </row>
    <row r="74" spans="1:5" x14ac:dyDescent="0.2">
      <c r="A74">
        <v>138</v>
      </c>
      <c r="B74" t="s">
        <v>10</v>
      </c>
      <c r="C74">
        <v>1</v>
      </c>
      <c r="D74">
        <v>2</v>
      </c>
      <c r="E74" s="11">
        <v>3</v>
      </c>
    </row>
    <row r="75" spans="1:5" x14ac:dyDescent="0.2">
      <c r="A75">
        <v>145</v>
      </c>
      <c r="B75" t="s">
        <v>7</v>
      </c>
      <c r="C75">
        <v>1</v>
      </c>
      <c r="D75">
        <v>1</v>
      </c>
      <c r="E75">
        <v>3</v>
      </c>
    </row>
    <row r="76" spans="1:5" x14ac:dyDescent="0.2">
      <c r="A76">
        <v>164</v>
      </c>
      <c r="B76" t="s">
        <v>14</v>
      </c>
      <c r="C76">
        <v>1</v>
      </c>
      <c r="D76">
        <v>1</v>
      </c>
      <c r="E76" s="11">
        <v>3</v>
      </c>
    </row>
    <row r="77" spans="1:5" x14ac:dyDescent="0.2">
      <c r="A77">
        <v>176</v>
      </c>
      <c r="B77" t="s">
        <v>15</v>
      </c>
      <c r="C77">
        <v>1</v>
      </c>
      <c r="D77">
        <v>1</v>
      </c>
      <c r="E77">
        <v>3</v>
      </c>
    </row>
    <row r="78" spans="1:5" x14ac:dyDescent="0.2">
      <c r="A78">
        <v>199</v>
      </c>
      <c r="B78" t="s">
        <v>11</v>
      </c>
      <c r="C78">
        <v>1</v>
      </c>
      <c r="D78">
        <v>1</v>
      </c>
      <c r="E78" s="11">
        <v>3</v>
      </c>
    </row>
    <row r="81" spans="1:1" x14ac:dyDescent="0.2">
      <c r="A81" s="12" t="s">
        <v>67</v>
      </c>
    </row>
    <row r="82" spans="1:1" ht="409.6" x14ac:dyDescent="0.2">
      <c r="A82" s="2" t="s">
        <v>68</v>
      </c>
    </row>
    <row r="83" spans="1:1" ht="320" x14ac:dyDescent="0.2">
      <c r="A83" s="2" t="s">
        <v>69</v>
      </c>
    </row>
    <row r="84" spans="1:1" ht="240" x14ac:dyDescent="0.2">
      <c r="A84" s="2" t="s">
        <v>70</v>
      </c>
    </row>
    <row r="85" spans="1:1" ht="350" x14ac:dyDescent="0.2">
      <c r="A85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James</dc:creator>
  <cp:lastModifiedBy>Robert James</cp:lastModifiedBy>
  <dcterms:created xsi:type="dcterms:W3CDTF">2026-05-11T06:58:29Z</dcterms:created>
  <dcterms:modified xsi:type="dcterms:W3CDTF">2026-05-11T06:58:45Z</dcterms:modified>
</cp:coreProperties>
</file>