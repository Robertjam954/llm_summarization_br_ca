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robertjames/Documents/GitHub/llm_summarization_br_ca/data/fab_source/"/>
    </mc:Choice>
  </mc:AlternateContent>
  <xr:revisionPtr revIDLastSave="0" documentId="8_{424B3E68-5234-E443-8E3F-7367617942C3}" xr6:coauthVersionLast="47" xr6:coauthVersionMax="47" xr10:uidLastSave="{00000000-0000-0000-0000-000000000000}"/>
  <bookViews>
    <workbookView xWindow="5840" yWindow="620" windowWidth="27680" windowHeight="15720" activeTab="2" xr2:uid="{A056AAD4-7BD3-45DF-9A53-52A1318EEA86}"/>
  </bookViews>
  <sheets>
    <sheet name="Validation" sheetId="1" r:id="rId1"/>
    <sheet name="Legend" sheetId="2" r:id="rId2"/>
    <sheet name="AI_Has_3 " sheetId="7" r:id="rId3"/>
    <sheet name="Failure_Analysis" sheetId="4" r:id="rId4"/>
    <sheet name="Human_Has_3" sheetId="5" r:id="rId5"/>
  </sheets>
  <definedNames>
    <definedName name="_xlnm._FilterDatabase" localSheetId="0" hidden="1">Validation!$H$206:$H$206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4" l="1"/>
  <c r="C57" i="4"/>
  <c r="E45" i="4"/>
  <c r="E44" i="4"/>
  <c r="E43" i="4"/>
  <c r="E42" i="4"/>
  <c r="D37" i="4"/>
  <c r="C37" i="4"/>
  <c r="B37" i="4"/>
  <c r="D36" i="4"/>
  <c r="D35" i="4"/>
  <c r="D34" i="4"/>
  <c r="D33" i="4"/>
  <c r="D32" i="4"/>
  <c r="D31" i="4"/>
  <c r="D30" i="4"/>
  <c r="D29" i="4"/>
  <c r="D28" i="4"/>
  <c r="D27" i="4"/>
  <c r="D26" i="4"/>
  <c r="D25" i="4"/>
  <c r="C20" i="4"/>
  <c r="B20" i="4"/>
  <c r="C19" i="4"/>
  <c r="C18" i="4"/>
  <c r="C17" i="4"/>
  <c r="C16" i="4"/>
  <c r="C15" i="4"/>
  <c r="C14" i="4"/>
  <c r="C13" i="4"/>
  <c r="C12" i="4"/>
  <c r="C11" i="4"/>
  <c r="C10" i="4"/>
  <c r="C9" i="4"/>
  <c r="C8" i="4"/>
  <c r="C7" i="4"/>
  <c r="C6" i="4"/>
  <c r="AX2" i="1"/>
  <c r="AX3" i="1"/>
  <c r="AX4" i="1"/>
  <c r="AX5" i="1"/>
  <c r="AX6" i="1"/>
  <c r="AX7" i="1"/>
  <c r="AX8" i="1"/>
  <c r="AX9" i="1"/>
  <c r="AX10" i="1"/>
  <c r="AX11" i="1"/>
  <c r="AX12" i="1"/>
  <c r="AX13" i="1"/>
  <c r="AX14" i="1"/>
  <c r="AX15" i="1"/>
  <c r="AX16" i="1"/>
  <c r="AX17" i="1"/>
  <c r="AX18" i="1"/>
  <c r="AX19"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45" i="1"/>
  <c r="AX46" i="1"/>
  <c r="AX47" i="1"/>
  <c r="AX48" i="1"/>
  <c r="AX49" i="1"/>
  <c r="AX50" i="1"/>
  <c r="AX51" i="1"/>
  <c r="AX52" i="1"/>
  <c r="AX53" i="1"/>
  <c r="AX54" i="1"/>
  <c r="AX55" i="1"/>
  <c r="AX56" i="1"/>
  <c r="AX57" i="1"/>
  <c r="AX58" i="1"/>
  <c r="AX59" i="1"/>
  <c r="AX60" i="1"/>
  <c r="AX61" i="1"/>
  <c r="AX62" i="1"/>
  <c r="AX63" i="1"/>
  <c r="AX64" i="1"/>
  <c r="AX65" i="1"/>
  <c r="AX66" i="1"/>
  <c r="AX67" i="1"/>
  <c r="AX68" i="1"/>
  <c r="AX69" i="1"/>
  <c r="AX70" i="1"/>
  <c r="AX71" i="1"/>
  <c r="AX72" i="1"/>
  <c r="AX73" i="1"/>
  <c r="AX74" i="1"/>
  <c r="AX75" i="1"/>
  <c r="AX76" i="1"/>
  <c r="AX77" i="1"/>
  <c r="AX78" i="1"/>
  <c r="AX79" i="1"/>
  <c r="AX80" i="1"/>
  <c r="AX81" i="1"/>
  <c r="AX82" i="1"/>
  <c r="AX83" i="1"/>
  <c r="AX84" i="1"/>
  <c r="AX85" i="1"/>
  <c r="AX86" i="1"/>
  <c r="AX87" i="1"/>
  <c r="AX88" i="1"/>
  <c r="AX89" i="1"/>
  <c r="AX90" i="1"/>
  <c r="AX91" i="1"/>
  <c r="AX92" i="1"/>
  <c r="AX93" i="1"/>
  <c r="AX94" i="1"/>
  <c r="AX95" i="1"/>
  <c r="AX96" i="1"/>
  <c r="AX97" i="1"/>
  <c r="AX98" i="1"/>
  <c r="AX99" i="1"/>
  <c r="AX100" i="1"/>
  <c r="AX101" i="1"/>
  <c r="AX102" i="1"/>
  <c r="AX103" i="1"/>
  <c r="AX104" i="1"/>
  <c r="AX105" i="1"/>
  <c r="AX106" i="1"/>
  <c r="AX107" i="1"/>
  <c r="AX108" i="1"/>
  <c r="AX109" i="1"/>
  <c r="AX110" i="1"/>
  <c r="AX111" i="1"/>
  <c r="AX112" i="1"/>
  <c r="AX113" i="1"/>
  <c r="AX114" i="1"/>
  <c r="AX115" i="1"/>
  <c r="AX116" i="1"/>
  <c r="AX117" i="1"/>
  <c r="AX118" i="1"/>
  <c r="AX119" i="1"/>
  <c r="AX120" i="1"/>
  <c r="AX121" i="1"/>
  <c r="AX122" i="1"/>
  <c r="AX123" i="1"/>
  <c r="AX124" i="1"/>
  <c r="AX125" i="1"/>
  <c r="AX126" i="1"/>
  <c r="AX127" i="1"/>
  <c r="AX128" i="1"/>
  <c r="AX129" i="1"/>
  <c r="AX130" i="1"/>
  <c r="AX131" i="1"/>
  <c r="AX132" i="1"/>
  <c r="AX133" i="1"/>
  <c r="AX134" i="1"/>
  <c r="AX135" i="1"/>
  <c r="AX136" i="1"/>
  <c r="AX137" i="1"/>
  <c r="AX138" i="1"/>
  <c r="AX139" i="1"/>
  <c r="AX140" i="1"/>
  <c r="AX141" i="1"/>
  <c r="AX142" i="1"/>
  <c r="AX143" i="1"/>
  <c r="AX144" i="1"/>
  <c r="AX145" i="1"/>
  <c r="AX146" i="1"/>
  <c r="AX147" i="1"/>
  <c r="AX148" i="1"/>
  <c r="AX149" i="1"/>
  <c r="AX150" i="1"/>
  <c r="AX151" i="1"/>
  <c r="AX152" i="1"/>
  <c r="AX153" i="1"/>
  <c r="AX154" i="1"/>
  <c r="AX155" i="1"/>
  <c r="AX156" i="1"/>
  <c r="AX157" i="1"/>
  <c r="AX158" i="1"/>
  <c r="AX159" i="1"/>
  <c r="AX160" i="1"/>
  <c r="AX161" i="1"/>
  <c r="AX162" i="1"/>
  <c r="AX163" i="1"/>
  <c r="AX164" i="1"/>
  <c r="AX165" i="1"/>
  <c r="AX166" i="1"/>
  <c r="AX167" i="1"/>
  <c r="AX168" i="1"/>
  <c r="AX169" i="1"/>
  <c r="AX170" i="1"/>
  <c r="AX171" i="1"/>
  <c r="AX172" i="1"/>
  <c r="AX173" i="1"/>
  <c r="AX174" i="1"/>
  <c r="AX175" i="1"/>
  <c r="AX176" i="1"/>
  <c r="AX177" i="1"/>
  <c r="AX178" i="1"/>
  <c r="AX179" i="1"/>
  <c r="AX180" i="1"/>
  <c r="AX181" i="1"/>
  <c r="AX182" i="1"/>
  <c r="AX183" i="1"/>
  <c r="AX184" i="1"/>
  <c r="AX185" i="1"/>
  <c r="AX186" i="1"/>
  <c r="AX187" i="1"/>
  <c r="AX188" i="1"/>
  <c r="AX189" i="1"/>
  <c r="AX190" i="1"/>
  <c r="AX191" i="1"/>
  <c r="AX192" i="1"/>
  <c r="AX193" i="1"/>
  <c r="AX194" i="1"/>
  <c r="AX195" i="1"/>
  <c r="AX196" i="1"/>
  <c r="AX197" i="1"/>
  <c r="AX198" i="1"/>
  <c r="AX199" i="1"/>
  <c r="AX200" i="1"/>
  <c r="AX20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tc={29904FDC-3DDE-4934-9440-5B762D6D17E2}</author>
    <author>tc={7D2F73DF-53CA-4326-BF57-6320E58CB104}</author>
    <author>tc={9E5EC08A-4FD1-4633-8BE2-20EC83118F2B}</author>
    <author>tc={1A7D0217-7C7F-4605-B9B0-ED03F4B30984}</author>
    <author>tc={A2A96E58-9228-4407-9278-1D15A61BBB01}</author>
    <author>tc={B9EDA239-ED82-4787-BFA4-19373E168FC1}</author>
    <author>tc={C3FBFD8F-4ECA-4513-AD97-ACDDC8C7BB50}</author>
    <author>tc={FE965CED-5C0F-4A24-8F51-0087FF983306}</author>
    <author>tc={153B8614-EDE5-4F73-A618-FA5FD8EE4172}</author>
    <author>tc={82C5040F-EA46-4300-9E2B-8350692B209E}</author>
    <author>tc={D6F64086-60E7-4D9C-B599-9C1C9F330DA9}</author>
    <author>tc={6D60EBA5-8832-48FB-ADF5-FBEF149466F0}</author>
    <author>tc={3D2C4521-67DA-4125-9607-23D9EDB6EAC4}</author>
    <author>tc={32946236-29B9-4A55-AF78-C4A2E934DC93}</author>
    <author>tc={1AFD3EE6-8097-4645-8E71-A93D37AE868C}</author>
    <author>tc={F7F85B19-2CF7-433B-A69D-ABDEF9975136}</author>
    <author>tc={33942697-7C87-4131-A802-C48DBDE7E9C7}</author>
    <author>tc={F2592C72-CF42-4FA2-B928-7C9B1C0E944A}</author>
    <author>tc={7C11EEA2-3C57-424C-8E2C-84D604DF1152}</author>
    <author>tc={5D0E9CB3-98A0-4B0D-BD7A-AE79C95D2982}</author>
    <author>tc={076A6D7C-A348-41F3-AE3F-592FBC89819C}</author>
    <author>tc={64D8A1F9-BAD4-4B37-811A-E344E71B500D}</author>
    <author>tc={80E27B18-AF02-48D7-8CE5-CC5C09F07810}</author>
    <author>tc={8BB10517-3F14-4B7F-9470-1C82AA8558DF}</author>
    <author>tc={898E55B9-A2A8-43C3-8AD5-D6AE0F274457}</author>
    <author>tc={E1178814-BC42-4B62-9215-095BB44BEDE0}</author>
    <author>tc={268BE175-5DE9-4D65-A1E1-70DC0C9CFC8F}</author>
    <author>tc={E8DF781F-F57C-4A96-AE45-6F0389E081DF}</author>
    <author>tc={D7907A43-259E-49F2-9DB7-B7666E948108}</author>
    <author>tc={B58F77B1-EDA9-4486-A8D1-9FBFC080E708}</author>
    <author>tc={CC7DAB9E-CD83-4069-9D82-B861538A3C1A}</author>
  </authors>
  <commentList>
    <comment ref="H4" authorId="0" shapeId="0" xr:uid="{29904FDC-3DDE-4934-9440-5B762D6D17E2}">
      <text>
        <t>[Threaded comment]
Your version of Excel allows you to read this threaded comment; however, any edits to it will get removed if the file is opened in a newer version of Excel. Learn more: https://go.microsoft.com/fwlink/?linkid=870924
Comment:
    MMG says 1.2cm and human says 1.0</t>
      </text>
    </comment>
    <comment ref="AV7" authorId="1" shapeId="0" xr:uid="{7D2F73DF-53CA-4326-BF57-6320E58CB104}">
      <text>
        <t xml:space="preserve">[Threaded comment]
Your version of Excel allows you to read this threaded comment; however, any edits to it will get removed if the file is opened in a newer version of Excel. Learn more: https://go.microsoft.com/fwlink/?linkid=870924
Comment:
    receptors available in source, but bot reports missing.  Check to make sure bot had all documents.  </t>
      </text>
    </comment>
    <comment ref="Z11" authorId="2" shapeId="0" xr:uid="{9E5EC08A-4FD1-4633-8BE2-20EC83118F2B}">
      <text>
        <t>[Threaded comment]
Your version of Excel allows you to read this threaded comment; however, any edits to it will get removed if the file is opened in a newer version of Excel. Learn more: https://go.microsoft.com/fwlink/?linkid=870924
Comment:
    PPM reports clip placement, but human report no mention of clip</t>
      </text>
    </comment>
    <comment ref="AA13" authorId="3" shapeId="0" xr:uid="{1A7D0217-7C7F-4605-B9B0-ED03F4B30984}">
      <text>
        <t xml:space="preserve">[Threaded comment]
Your version of Excel allows you to read this threaded comment; however, any edits to it will get removed if the file is opened in a newer version of Excel. Learn more: https://go.microsoft.com/fwlink/?linkid=870924
Comment:
    clip not deployed/seen on post-biopsy images however AI reports "Yes (confirmed on subsequent imaging)". All imaging reports comment on visible postbiopsy changes able to be targeted, maybe that was the source of consfusion for the model </t>
      </text>
    </comment>
    <comment ref="I15" authorId="4" shapeId="0" xr:uid="{A2A96E58-9228-4407-9278-1D15A61BBB01}">
      <text>
        <t>[Threaded comment]
Your version of Excel allows you to read this threaded comment; however, any edits to it will get removed if the file is opened in a newer version of Excel. Learn more: https://go.microsoft.com/fwlink/?linkid=870924
Comment:
    this was identified as a gap by AI</t>
      </text>
    </comment>
    <comment ref="S15" authorId="5" shapeId="0" xr:uid="{B9EDA239-ED82-4787-BFA4-19373E168FC1}">
      <text>
        <t>[Threaded comment]
Your version of Excel allows you to read this threaded comment; however, any edits to it will get removed if the file is opened in a newer version of Excel. Learn more: https://go.microsoft.com/fwlink/?linkid=870924
Comment:
    per chart review MRI performed and found NME, bx reports in source documents but not imaging reports</t>
      </text>
    </comment>
    <comment ref="Y15" authorId="6" shapeId="0" xr:uid="{C3FBFD8F-4ECA-4513-AD97-ACDDC8C7BB50}">
      <text>
        <t>[Threaded comment]
Your version of Excel allows you to read this threaded comment; however, any edits to it will get removed if the file is opened in a newer version of Excel. Learn more: https://go.microsoft.com/fwlink/?linkid=870924
Comment:
    no post bx mammo in source, it is in the chart tho</t>
      </text>
    </comment>
    <comment ref="AA15" authorId="7" shapeId="0" xr:uid="{FE965CED-5C0F-4A24-8F51-0087FF983306}">
      <text>
        <t>[Threaded comment]
Your version of Excel allows you to read this threaded comment; however, any edits to it will get removed if the file is opened in a newer version of Excel. Learn more: https://go.microsoft.com/fwlink/?linkid=870924
Comment:
    Correctly saying no post bx mammo
Reply:
    changed from score of 1 to NA (both human and AI) as source doc was not provided to bot</t>
      </text>
    </comment>
    <comment ref="AA16" authorId="8" shapeId="0" xr:uid="{153B8614-EDE5-4F73-A618-FA5FD8EE4172}">
      <text>
        <t>[Threaded comment]
Your version of Excel allows you to read this threaded comment; however, any edits to it will get removed if the file is opened in a newer version of Excel. Learn more: https://go.microsoft.com/fwlink/?linkid=870924
Comment:
    did not comment on "accurate"</t>
      </text>
    </comment>
    <comment ref="AJ16" authorId="9" shapeId="0" xr:uid="{82C5040F-EA46-4300-9E2B-8350692B209E}">
      <text>
        <t>[Threaded comment]
Your version of Excel allows you to read this threaded comment; however, any edits to it will get removed if the file is opened in a newer version of Excel. Learn more: https://go.microsoft.com/fwlink/?linkid=870924
Comment:
    it looks like it gets confused with the internal read timing so when it reports on US reports for example for this one, it reports on post biopsy changes and clips. But when it puts everythign in time it is correct</t>
      </text>
    </comment>
    <comment ref="AU18" authorId="10" shapeId="0" xr:uid="{D6F64086-60E7-4D9C-B599-9C1C9F330DA9}">
      <text>
        <t>[Threaded comment]
Your version of Excel allows you to read this threaded comment; however, any edits to it will get removed if the file is opened in a newer version of Excel. Learn more: https://go.microsoft.com/fwlink/?linkid=870924
Comment:
    changed score from 1 to NA as bot did not have access to source doc</t>
      </text>
    </comment>
    <comment ref="Z19" authorId="11" shapeId="0" xr:uid="{6D60EBA5-8832-48FB-ADF5-FBEF149466F0}">
      <text>
        <t>[Threaded comment]
Your version of Excel allows you to read this threaded comment; however, any edits to it will get removed if the file is opened in a newer version of Excel. Learn more: https://go.microsoft.com/fwlink/?linkid=870924
Comment:
    looks like human HPI had additional imaging reads at the time. 
Reply:
    changed from 1 to NA (human) as documents not provided to bot</t>
      </text>
    </comment>
    <comment ref="Z31" authorId="12" shapeId="0" xr:uid="{3D2C4521-67DA-4125-9607-23D9EDB6EAC4}">
      <text>
        <t>[Threaded comment]
Your version of Excel allows you to read this threaded comment; however, any edits to it will get removed if the file is opened in a newer version of Excel. Learn more: https://go.microsoft.com/fwlink/?linkid=870924
Comment:
    Clip type reported on HPI but not in source. Will need to re-run probably</t>
      </text>
    </comment>
    <comment ref="AJ40" authorId="13" shapeId="0" xr:uid="{32946236-29B9-4A55-AF78-C4A2E934DC93}">
      <text>
        <t xml:space="preserve">[Threaded comment]
Your version of Excel allows you to read this threaded comment; however, any edits to it will get removed if the file is opened in a newer version of Excel. Learn more: https://go.microsoft.com/fwlink/?linkid=870924
Comment:
    MRI happened before US. The dates are correct on AI but it presented the US first. </t>
      </text>
    </comment>
    <comment ref="AU40" authorId="14" shapeId="0" xr:uid="{1AFD3EE6-8097-4645-8E71-A93D37AE868C}">
      <text>
        <t>[Threaded comment]
Your version of Excel allows you to read this threaded comment; however, any edits to it will get removed if the file is opened in a newer version of Excel. Learn more: https://go.microsoft.com/fwlink/?linkid=870924
Comment:
    changed from 1 to NA as bot did not have access to source document</t>
      </text>
    </comment>
    <comment ref="AA41" authorId="15" shapeId="0" xr:uid="{F7F85B19-2CF7-433B-A69D-ABDEF9975136}">
      <text>
        <t>[Threaded comment]
Your version of Excel allows you to read this threaded comment; however, any edits to it will get removed if the file is opened in a newer version of Excel. Learn more: https://go.microsoft.com/fwlink/?linkid=870924
Comment:
    Source has the wrong post biopsy mammo (opposite side in future) but AI found the correct side and post biopsy mammo through our internal read. This happens often, combining the OSH and internal read. Not sure if we wat this or better to keep OSH and internal reads separate so two different runs for the bot</t>
      </text>
    </comment>
    <comment ref="AG123" authorId="16" shapeId="0" xr:uid="{33942697-7C87-4131-A802-C48DBDE7E9C7}">
      <text>
        <t>[Threaded comment]
Your version of Excel allows you to read this threaded comment; however, any edits to it will get removed if the file is opened in a newer version of Excel. Learn more: https://go.microsoft.com/fwlink/?linkid=870924
Comment:
    bot correctly identified node info missing</t>
      </text>
    </comment>
    <comment ref="Q125" authorId="17" shapeId="0" xr:uid="{F2592C72-CF42-4FA2-B928-7C9B1C0E944A}">
      <text>
        <t>[Threaded comment]
Your version of Excel allows you to read this threaded comment; however, any edits to it will get removed if the file is opened in a newer version of Excel. Learn more: https://go.microsoft.com/fwlink/?linkid=870924
Comment:
    mmm mentions retroareolar calls, which human HPI does not mention</t>
      </text>
    </comment>
    <comment ref="AC126" authorId="18" shapeId="0" xr:uid="{7C11EEA2-3C57-424C-8E2C-84D604DF1152}">
      <text>
        <t>[Threaded comment]
Your version of Excel allows you to read this threaded comment; however, any edits to it will get removed if the file is opened in a newer version of Excel. Learn more: https://go.microsoft.com/fwlink/?linkid=870924
Comment:
    recommendation for additional imaging missing from HPI (10/14), present in internal review (9/29)</t>
      </text>
    </comment>
    <comment ref="AG129" authorId="19" shapeId="0" xr:uid="{5D0E9CB3-98A0-4B0D-BD7A-AE79C95D2982}">
      <text>
        <t>[Threaded comment]
Your version of Excel allows you to read this threaded comment; however, any edits to it will get removed if the file is opened in a newer version of Excel. Learn more: https://go.microsoft.com/fwlink/?linkid=870924
Comment:
    source documents that right axilla is not imaged.  Neither human nor bot report that there is lack of imaging of axilla</t>
      </text>
    </comment>
    <comment ref="AF133" authorId="20" shapeId="0" xr:uid="{076A6D7C-A348-41F3-AE3F-592FBC89819C}">
      <text>
        <t>[Threaded comment]
Your version of Excel allows you to read this threaded comment; however, any edits to it will get removed if the file is opened in a newer version of Excel. Learn more: https://go.microsoft.com/fwlink/?linkid=870924
Comment:
    normal lymph nodes on left noted in source.  Bot picks up on this, missing from human HPI</t>
      </text>
    </comment>
    <comment ref="AV134" authorId="21" shapeId="0" xr:uid="{64D8A1F9-BAD4-4B37-811A-E344E71B500D}">
      <text>
        <t>[Threaded comment]
Your version of Excel allows you to read this threaded comment; however, any edits to it will get removed if the file is opened in a newer version of Excel. Learn more: https://go.microsoft.com/fwlink/?linkid=870924
Comment:
    correctly identified as missing</t>
      </text>
    </comment>
    <comment ref="X138" authorId="22" shapeId="0" xr:uid="{80E27B18-AF02-48D7-8CE5-CC5C09F07810}">
      <text>
        <t>[Threaded comment]
Your version of Excel allows you to read this threaded comment; however, any edits to it will get removed if the file is opened in a newer version of Excel. Learn more: https://go.microsoft.com/fwlink/?linkid=870924
Comment:
    Bot misses that the entirety of the 2 nodules spans 1.2 cm.  Poor quality PDF</t>
      </text>
    </comment>
    <comment ref="AA138" authorId="23" shapeId="0" xr:uid="{8BB10517-3F14-4B7F-9470-1C82AA8558DF}">
      <text>
        <t>[Threaded comment]
Your version of Excel allows you to read this threaded comment; however, any edits to it will get removed if the file is opened in a newer version of Excel. Learn more: https://go.microsoft.com/fwlink/?linkid=870924
Comment:
    Bot accurately identifies this as a gap</t>
      </text>
    </comment>
    <comment ref="AP138" authorId="24" shapeId="0" xr:uid="{898E55B9-A2A8-43C3-8AD5-D6AE0F274457}">
      <text>
        <t>[Threaded comment]
Your version of Excel allows you to read this threaded comment; however, any edits to it will get removed if the file is opened in a newer version of Excel. Learn more: https://go.microsoft.com/fwlink/?linkid=870924
Comment:
    Bot reports invasive component size 1.7 cm, but 1.1 cm in poor quality pdf</t>
      </text>
    </comment>
    <comment ref="AP139" authorId="25" shapeId="0" xr:uid="{E1178814-BC42-4B62-9215-095BB44BEDE0}">
      <text>
        <t>[Threaded comment]
Your version of Excel allows you to read this threaded comment; however, any edits to it will get removed if the file is opened in a newer version of Excel. Learn more: https://go.microsoft.com/fwlink/?linkid=870924
Comment:
    bot reports on usgbx 8/13 carcinoma with Venus clip deployed, but misses IDC and receptor profile which is further down in document</t>
      </text>
    </comment>
    <comment ref="AU140" authorId="26" shapeId="0" xr:uid="{268BE175-5DE9-4D65-A1E1-70DC0C9CFC8F}">
      <text>
        <t>[Threaded comment]
Your version of Excel allows you to read this threaded comment; however, any edits to it will get removed if the file is opened in a newer version of Excel. Learn more: https://go.microsoft.com/fwlink/?linkid=870924
Comment:
    receptors written in cc, but to in HPI</t>
      </text>
    </comment>
    <comment ref="X143" authorId="27" shapeId="0" xr:uid="{E8DF781F-F57C-4A96-AE45-6F0389E081DF}">
      <text>
        <t>[Threaded comment]
Your version of Excel allows you to read this threaded comment; however, any edits to it will get removed if the file is opened in a newer version of Excel. Learn more: https://go.microsoft.com/fwlink/?linkid=870924
Comment:
    Reran bot with initial MRI, entered score as 1</t>
      </text>
    </comment>
    <comment ref="I145" authorId="28" shapeId="0" xr:uid="{D7907A43-259E-49F2-9DB7-B7666E948108}">
      <text>
        <t>[Threaded comment]
Your version of Excel allows you to read this threaded comment; however, any edits to it will get removed if the file is opened in a newer version of Excel. Learn more: https://go.microsoft.com/fwlink/?linkid=870924
Comment:
    Bot incorrectly reads initial left breast ultrasound as 6.5cm, when its 6mm.  It does however identify this as a size discrepancy and flags it to be checked</t>
      </text>
    </comment>
    <comment ref="AC146" authorId="29" shapeId="0" xr:uid="{B58F77B1-EDA9-4486-A8D1-9FBFC080E708}">
      <text>
        <t>[Threaded comment]
Your version of Excel allows you to read this threaded comment; however, any edits to it will get removed if the file is opened in a newer version of Excel. Learn more: https://go.microsoft.com/fwlink/?linkid=870924
Comment:
    misses posterior left breast mass may require bx depending on treatment plan</t>
      </text>
    </comment>
    <comment ref="AV161" authorId="30" shapeId="0" xr:uid="{CC7DAB9E-CD83-4069-9D82-B861538A3C1A}">
      <text>
        <t>[Threaded comment]
Your version of Excel allows you to read this threaded comment; however, any edits to it will get removed if the file is opened in a newer version of Excel. Learn more: https://go.microsoft.com/fwlink/?linkid=870924
Comment:
    reports as missing, but present in source PDF which is rotated</t>
      </text>
    </comment>
  </commentList>
</comments>
</file>

<file path=xl/sharedStrings.xml><?xml version="1.0" encoding="utf-8"?>
<sst xmlns="http://schemas.openxmlformats.org/spreadsheetml/2006/main" count="1919" uniqueCount="381">
  <si>
    <t>Column1</t>
  </si>
  <si>
    <t>surgeon</t>
  </si>
  <si>
    <t>mrn</t>
  </si>
  <si>
    <t>patient_initials</t>
  </si>
  <si>
    <t>tumor_invasive_dcis</t>
  </si>
  <si>
    <t>complex_case_status</t>
  </si>
  <si>
    <t>lesion_size_status_source</t>
  </si>
  <si>
    <t>lesion_size_status_human</t>
  </si>
  <si>
    <t>lesion_size_status_ai</t>
  </si>
  <si>
    <t>laterality_status_source</t>
  </si>
  <si>
    <t>laterality_status_human</t>
  </si>
  <si>
    <t>laterality_status_ai</t>
  </si>
  <si>
    <t>lesion_location_status_source</t>
  </si>
  <si>
    <t>lesion_location_status_human</t>
  </si>
  <si>
    <t>lesion_location_status_ai</t>
  </si>
  <si>
    <t>calcifications_asymmetry_status_source</t>
  </si>
  <si>
    <t>calcifications_asymmetry_status_human</t>
  </si>
  <si>
    <t>calcifications_asymmetry_status_ai</t>
  </si>
  <si>
    <t>additional_enhancement_mri_status_source</t>
  </si>
  <si>
    <t>additional_enhancement_mri_status_human</t>
  </si>
  <si>
    <t>additional_enhancement_mri_status_ai</t>
  </si>
  <si>
    <t>extent_status_source</t>
  </si>
  <si>
    <t>extent_status_human</t>
  </si>
  <si>
    <t>extent_status_ai</t>
  </si>
  <si>
    <t>accurate_clip_placement_status_source</t>
  </si>
  <si>
    <t>accurate_clip_placement_status_human</t>
  </si>
  <si>
    <t>accurate_clip_placement_status_ai</t>
  </si>
  <si>
    <t>workup_recommendation_status_source</t>
  </si>
  <si>
    <t>workup_recommendation_status_human</t>
  </si>
  <si>
    <t>workup_recommendation_status_ai</t>
  </si>
  <si>
    <t>Lymph node_status_source</t>
  </si>
  <si>
    <t>Lymph node_status_human</t>
  </si>
  <si>
    <t>Lymph node_status_ai</t>
  </si>
  <si>
    <t>chronology_preserved_status_source</t>
  </si>
  <si>
    <t>chronology_preserved_status_human</t>
  </si>
  <si>
    <t>chronology_preserved_status_ai</t>
  </si>
  <si>
    <t>biopsy_method_status_source</t>
  </si>
  <si>
    <t>biopsy_method_status_human</t>
  </si>
  <si>
    <t>biopsy_method_status_ai</t>
  </si>
  <si>
    <t>invasive_component_size_pathology_status_source</t>
  </si>
  <si>
    <t>invasive_component_size_pathology_status_human</t>
  </si>
  <si>
    <t>invasive_component_size_pathology_status_ai</t>
  </si>
  <si>
    <t>histologic_diagnosis_status_source</t>
  </si>
  <si>
    <t>histologic_diagnosis_status_human</t>
  </si>
  <si>
    <t>histologic_diagnosis_status_ai</t>
  </si>
  <si>
    <t>receptor_status_source</t>
  </si>
  <si>
    <t>receptor_status_human</t>
  </si>
  <si>
    <t>receptor_status_ai</t>
  </si>
  <si>
    <t>comments</t>
  </si>
  <si>
    <t>Allen, Lisa</t>
  </si>
  <si>
    <t>AN</t>
  </si>
  <si>
    <t>NA</t>
  </si>
  <si>
    <t>JR</t>
  </si>
  <si>
    <t>receptors missing from BOT</t>
  </si>
  <si>
    <t>KM</t>
  </si>
  <si>
    <t>AD</t>
  </si>
  <si>
    <t>JP</t>
  </si>
  <si>
    <t>KW</t>
  </si>
  <si>
    <t>Bot missing HR</t>
  </si>
  <si>
    <t>JE</t>
  </si>
  <si>
    <t>TB</t>
  </si>
  <si>
    <t>no hr recognized from bot, but oresent in source (slightly blurry)</t>
  </si>
  <si>
    <t>RQ</t>
  </si>
  <si>
    <t>DL</t>
  </si>
  <si>
    <t>Barrio, Andrea</t>
  </si>
  <si>
    <t>JSJ</t>
  </si>
  <si>
    <t>MSKCC review was pending at the time of human HPI</t>
  </si>
  <si>
    <t>NP</t>
  </si>
  <si>
    <t>clip not deployed/seen on post-biopsy images however AI reports "Yes (confirmed on subsequent imaging)". All imaging reports comment on visible postbiopsy changes able to be targeted, maybe that was the source of consfusion for the model</t>
  </si>
  <si>
    <t>EJ</t>
  </si>
  <si>
    <t>na</t>
  </si>
  <si>
    <t xml:space="preserve">Will need to add MRI and post biopsy mammo and re-run </t>
  </si>
  <si>
    <t>LU</t>
  </si>
  <si>
    <t>KH</t>
  </si>
  <si>
    <t>Will need to add receptros and re-run</t>
  </si>
  <si>
    <t>CB</t>
  </si>
  <si>
    <t>additional images with post biospy mammo needed to re-run</t>
  </si>
  <si>
    <t>SL</t>
  </si>
  <si>
    <t>GOH</t>
  </si>
  <si>
    <t>Bayard, Solange</t>
  </si>
  <si>
    <t>RB</t>
  </si>
  <si>
    <t>SS</t>
  </si>
  <si>
    <t>GC</t>
  </si>
  <si>
    <t xml:space="preserve">missing mammo, US from source </t>
  </si>
  <si>
    <t>KP</t>
  </si>
  <si>
    <t xml:space="preserve">Human HPI lacking lots of info </t>
  </si>
  <si>
    <t>VM</t>
  </si>
  <si>
    <t>NT</t>
  </si>
  <si>
    <t>FR</t>
  </si>
  <si>
    <t>LD</t>
  </si>
  <si>
    <t>FISH was missing from source but ER and PR were in and AI said "pending MSK review"</t>
  </si>
  <si>
    <t>DB</t>
  </si>
  <si>
    <t>Receptor report in a weird formal within table maybe that's why missed by AI?</t>
  </si>
  <si>
    <t>DP</t>
  </si>
  <si>
    <t>Clip type reported on human HPI but not in source and AI HPI. Will need to re-run probably</t>
  </si>
  <si>
    <t>Capko, Deborah</t>
  </si>
  <si>
    <t>BF</t>
  </si>
  <si>
    <t xml:space="preserve">Ai read it as lobular reports say mammary </t>
  </si>
  <si>
    <t>JL</t>
  </si>
  <si>
    <t>CM</t>
  </si>
  <si>
    <t>Receptors present at source but "pending: on both HPIs</t>
  </si>
  <si>
    <t>JO</t>
  </si>
  <si>
    <t>AR</t>
  </si>
  <si>
    <t>SK</t>
  </si>
  <si>
    <t xml:space="preserve">Receptors present at source but "MISSING" on AI </t>
  </si>
  <si>
    <t>KO</t>
  </si>
  <si>
    <t>Needs re-run, External path report missing from source so no receptros so AI said "PENDING MSKCC review". But AI filled in histo size etc so it seems like AI will take infro from OSH or MSKCC whichever is available? I have seen this before, filling in gaps from either</t>
  </si>
  <si>
    <t>KB</t>
  </si>
  <si>
    <t>Choi, Danny</t>
  </si>
  <si>
    <t>CH</t>
  </si>
  <si>
    <t>MS</t>
  </si>
  <si>
    <t>AI introduced recommendation for MRI for extent of disease not present in external or internal read</t>
  </si>
  <si>
    <t>KAG</t>
  </si>
  <si>
    <t>AI talks about additional receptors needed for completion of work-up for DCIS (PR/Her2/Ki67)</t>
  </si>
  <si>
    <t>BN</t>
  </si>
  <si>
    <t xml:space="preserve">  AI recognized satellite lesion on MRI, Human did not. </t>
  </si>
  <si>
    <t>PH</t>
  </si>
  <si>
    <t>human did not note mammary on internal path read, AI introduced recommendation for MRI with fatty breasts for extent of disease  when no recommendation on imaging</t>
  </si>
  <si>
    <t>CF</t>
  </si>
  <si>
    <t>ED</t>
  </si>
  <si>
    <t>Bot talks about Her2 testing for DCIS needed, human talks about contralateral invasive lobular cancer, only claissic type LCIS is present</t>
  </si>
  <si>
    <t>No post-biopsy mammo - but btoh human and AI noted this, so both given credit</t>
  </si>
  <si>
    <t>KG</t>
  </si>
  <si>
    <t>MRI was done at outside facility and provided to Human, no AI</t>
  </si>
  <si>
    <t>DM</t>
  </si>
  <si>
    <t>Downs-Canner, Stephanie</t>
  </si>
  <si>
    <t>CA</t>
  </si>
  <si>
    <t>Additional work-up for calcs noted on internal read of imaging and AI noted in plan.  Internal read not performed when Human HPI generated.  AI recommended staging studies for a subcentimeter cancer</t>
  </si>
  <si>
    <t>AP</t>
  </si>
  <si>
    <t>Receptors not present for left sided disease in this bilateral patient, but no provided to AI (was provided to human).</t>
  </si>
  <si>
    <t>VS</t>
  </si>
  <si>
    <t>Human did not have internal imaging at time of HPI - AI did - LNs not mentioned on external read</t>
  </si>
  <si>
    <t>DG</t>
  </si>
  <si>
    <t>AI recommended Her2 and Ki67 for DCIS.  Also recommended MRI when MRI was not mentioned on external or internal rads reports</t>
  </si>
  <si>
    <t>AQ</t>
  </si>
  <si>
    <t>PR note recorded by human, AI recommended need for Her2 and Ki67 for DCIS</t>
  </si>
  <si>
    <t>KS</t>
  </si>
  <si>
    <t>Her2 FISH missing from path report, human, and AI</t>
  </si>
  <si>
    <t>LR</t>
  </si>
  <si>
    <t>Patient being worked up for mets, AI not provided with this info.  AI recommended MRI althouh not recommended on external or internal imaging</t>
  </si>
  <si>
    <t>LL</t>
  </si>
  <si>
    <t>AI states FISH pending (as written in external biopsy report).  FISH is present, but not in text.  Data is in a picture format - maybe why not readable by AI?</t>
  </si>
  <si>
    <t>SC</t>
  </si>
  <si>
    <t>AM</t>
  </si>
  <si>
    <t>El-Tamer, Mahmoud</t>
  </si>
  <si>
    <t>MW</t>
  </si>
  <si>
    <t>AI correctly wrote no Her2 in the receptors section, but then called it a triple negative cancer is work up section - just DCIS</t>
  </si>
  <si>
    <t>MM</t>
  </si>
  <si>
    <t>in describing extent of disease from diag mammo - AI calls area cals when report says densities</t>
  </si>
  <si>
    <t>HH</t>
  </si>
  <si>
    <t>Size of tumor os US was 0.4, AI wrote 1.4,  uploaded text not clear, may be reason for discepency</t>
  </si>
  <si>
    <t>OR</t>
  </si>
  <si>
    <t xml:space="preserve">Human missing grade on path - AI on diag mammo write ~5cm, when it states ~3cm.  Text is unclear. </t>
  </si>
  <si>
    <t>GO</t>
  </si>
  <si>
    <t>AI recommends metastatic work-up</t>
  </si>
  <si>
    <t>MRI was available but AI did not mention it.  AIRecommended staging workup.</t>
  </si>
  <si>
    <t>Giankou, Andreas</t>
  </si>
  <si>
    <t>LM</t>
  </si>
  <si>
    <t>SM</t>
  </si>
  <si>
    <t>LE</t>
  </si>
  <si>
    <t>CR</t>
  </si>
  <si>
    <t>AI missed US report embedded in MMG doc</t>
  </si>
  <si>
    <t>LB</t>
  </si>
  <si>
    <t>Goel, neha</t>
  </si>
  <si>
    <t>LJ</t>
  </si>
  <si>
    <t>JA</t>
  </si>
  <si>
    <t>LC</t>
  </si>
  <si>
    <t>AI missed multiple reports, US with lesion size and exact location, HER2 status: MSK work-up with multiple embedded reports</t>
  </si>
  <si>
    <t>AI missed MRI report, but this was not present for human HPI so not captured</t>
  </si>
  <si>
    <t>TV</t>
  </si>
  <si>
    <t>MFB</t>
  </si>
  <si>
    <t>AI did not reported clip as displaced based on intermal review, OS report says clip in correct position...should have flagged discrepancy. ? rerun without internal read as was not availble for human HPI</t>
  </si>
  <si>
    <t>LH</t>
  </si>
  <si>
    <t>Fabrication on marigin statusm reports re-excision instead of cavity shave</t>
  </si>
  <si>
    <t>LCB</t>
  </si>
  <si>
    <t>MC</t>
  </si>
  <si>
    <t>NF</t>
  </si>
  <si>
    <t>Heerdt, Alexandra</t>
  </si>
  <si>
    <t>HS</t>
  </si>
  <si>
    <t>MH</t>
  </si>
  <si>
    <t>very poor report quality, missed receptors (path report quality ok)</t>
  </si>
  <si>
    <t>00499507</t>
  </si>
  <si>
    <t>SR</t>
  </si>
  <si>
    <t>missed receptors</t>
  </si>
  <si>
    <t>UD</t>
  </si>
  <si>
    <t>missed receptors and reported incorrect size of asymetry on MSK reivew (4.3 rather than 1.3)---clinically sigificant error</t>
  </si>
  <si>
    <t>JG</t>
  </si>
  <si>
    <t>AE</t>
  </si>
  <si>
    <t>LG</t>
  </si>
  <si>
    <t>Kirstein, Laurie</t>
  </si>
  <si>
    <t>MG</t>
  </si>
  <si>
    <t>Bot missed MMG/US reports</t>
  </si>
  <si>
    <t>AB</t>
  </si>
  <si>
    <t>Bot missed MMG/US, poor report quality</t>
  </si>
  <si>
    <t>SW</t>
  </si>
  <si>
    <t>Bot gave incorrect size for US mass 1.5 instead of 0.5</t>
  </si>
  <si>
    <t>DF</t>
  </si>
  <si>
    <t>MK</t>
  </si>
  <si>
    <t>CG</t>
  </si>
  <si>
    <t>RR</t>
  </si>
  <si>
    <t>JW</t>
  </si>
  <si>
    <t>Bot did not list invasive componenet</t>
  </si>
  <si>
    <t>Lee, Min</t>
  </si>
  <si>
    <t xml:space="preserve">Bot did not see receptors in report, incorrectly flagged as missing </t>
  </si>
  <si>
    <t>IS</t>
  </si>
  <si>
    <t>Bot did not have fish</t>
  </si>
  <si>
    <t>Bot did not see receptors</t>
  </si>
  <si>
    <t>BA</t>
  </si>
  <si>
    <t>LT</t>
  </si>
  <si>
    <t>WY</t>
  </si>
  <si>
    <t>Bot reports invasive component as 3.5mm, was 5.5mm</t>
  </si>
  <si>
    <t>LS</t>
  </si>
  <si>
    <t>SB</t>
  </si>
  <si>
    <t>Mamtani, Anita</t>
  </si>
  <si>
    <t>00970508</t>
  </si>
  <si>
    <t>JH</t>
  </si>
  <si>
    <t>00671768</t>
  </si>
  <si>
    <t>ML</t>
  </si>
  <si>
    <t>EB</t>
  </si>
  <si>
    <t>CC</t>
  </si>
  <si>
    <t>JB</t>
  </si>
  <si>
    <t>VG</t>
  </si>
  <si>
    <t>source documents that right axilla is not imaged. Neither human nor bot report that there is lack of imaging of axilla</t>
  </si>
  <si>
    <t>VA</t>
  </si>
  <si>
    <t>EN</t>
  </si>
  <si>
    <t>Montag, Giacomo</t>
  </si>
  <si>
    <t>TD</t>
  </si>
  <si>
    <t>IY</t>
  </si>
  <si>
    <t>bot correctly identifies HR missing</t>
  </si>
  <si>
    <t>DR</t>
  </si>
  <si>
    <t>bot reports HR as TNBC, but triple positive.  Bot also misses invasive component size. Source document long and blurry</t>
  </si>
  <si>
    <t>PP</t>
  </si>
  <si>
    <t>MP</t>
  </si>
  <si>
    <t>XM</t>
  </si>
  <si>
    <t>Poor quality PDF in which bot missed extent of disease in US report and interpreted 1.1 as 1.7 in path report</t>
  </si>
  <si>
    <t>Bot did not read full path report, and misses histology and rectopr status</t>
  </si>
  <si>
    <t>YL</t>
  </si>
  <si>
    <t>CD</t>
  </si>
  <si>
    <t>Moo, Tracy-Ann</t>
  </si>
  <si>
    <t>BD</t>
  </si>
  <si>
    <t>EU</t>
  </si>
  <si>
    <t>FS</t>
  </si>
  <si>
    <t>Bot incorrectly reads initial left breast ultrasound as 6.5cm, when its 6mm. It does however identify this as a size discrepancy and flags it to be checked</t>
  </si>
  <si>
    <t>KE</t>
  </si>
  <si>
    <t>PL</t>
  </si>
  <si>
    <t>WA</t>
  </si>
  <si>
    <t>IA</t>
  </si>
  <si>
    <t>Morrow, Monica</t>
  </si>
  <si>
    <t>KD</t>
  </si>
  <si>
    <t>00339254</t>
  </si>
  <si>
    <t>HB</t>
  </si>
  <si>
    <t>GB</t>
  </si>
  <si>
    <t>AK</t>
  </si>
  <si>
    <t>SZ</t>
  </si>
  <si>
    <t>TC</t>
  </si>
  <si>
    <t>MA</t>
  </si>
  <si>
    <t>Pawloski, Kate</t>
  </si>
  <si>
    <t>SA</t>
  </si>
  <si>
    <t>source (external read of ax US) does not specifically say normal R ax LN</t>
  </si>
  <si>
    <t>AO</t>
  </si>
  <si>
    <t>LK</t>
  </si>
  <si>
    <t>biopsy clip declined, accurate statement of such in both human- and AI- HPIs</t>
  </si>
  <si>
    <t>XY</t>
  </si>
  <si>
    <t>MR guided biopsy recommended for 2.2 cm non-masslike enhancement in L breast, as well as stereotactic biopsy of R breast (on MSK review), both of which are not mentioned in human-HPI</t>
  </si>
  <si>
    <t>NB</t>
  </si>
  <si>
    <t xml:space="preserve">extent misrepresentation by human. Additionally, incidental hepatic cysts vs hemangiomas were noted by both the human and AI summaries. However, the AI-generated HPI did not mention the rec for cross-sectional imaging, whereas the human-generated HPI did include this recommendation in the assessment (1 or 2 for work-up rec?). </t>
  </si>
  <si>
    <t>human HPI fails to mention workup recs, including MR abdomen which was not done</t>
  </si>
  <si>
    <t>Plitas, George</t>
  </si>
  <si>
    <t>MC2</t>
  </si>
  <si>
    <t>VC</t>
  </si>
  <si>
    <t>MZ</t>
  </si>
  <si>
    <t xml:space="preserve">both human and AI HPI fail to mention no axillary lymphadenopathy. Perhaps because MSK review states that the axilla was not imaged. However, US from 9/30 states LN normal BL. MSK review trumps external imaging. </t>
  </si>
  <si>
    <t>TK</t>
  </si>
  <si>
    <t>JJ</t>
  </si>
  <si>
    <t>JK</t>
  </si>
  <si>
    <t>YT</t>
  </si>
  <si>
    <t>Sacchini, Virgilio</t>
  </si>
  <si>
    <t>ST</t>
  </si>
  <si>
    <t>AH</t>
  </si>
  <si>
    <t xml:space="preserve">bot incorrectly labels MRI as unilateral and does not comment on L axilla. Additionally, fails to mention LCIS for histologic dx. </t>
  </si>
  <si>
    <t>BG</t>
  </si>
  <si>
    <t>bot and human failed to mention the adenopathy chest seen in  CT. human also fails to specifically mention areas of enhancement in MRI, placement of clip + location confirmation</t>
  </si>
  <si>
    <t>BE</t>
  </si>
  <si>
    <t>PD</t>
  </si>
  <si>
    <t xml:space="preserve">dx US done on the R side with normal LN noted, however the bot says LN were 'not specified'. </t>
  </si>
  <si>
    <t>bot doesn’t mention LCIS in histologic diagnosis</t>
  </si>
  <si>
    <t>OC</t>
  </si>
  <si>
    <t>bot failed to mention the 6 month follow up recommended for the findings on dx US</t>
  </si>
  <si>
    <t>AA</t>
  </si>
  <si>
    <t>Tadros, Audree</t>
  </si>
  <si>
    <t>00641257</t>
  </si>
  <si>
    <t>bot failed to mention the reecptor status</t>
  </si>
  <si>
    <t>ZL</t>
  </si>
  <si>
    <t>MB</t>
  </si>
  <si>
    <t xml:space="preserve">complex case for the bot. bot failed to mention the results of the MRI. Additionally, no mention of histologic diagnosis and receptors from final surgical pathology  </t>
  </si>
  <si>
    <t>RW</t>
  </si>
  <si>
    <t>bot got the receptors, stating ER- PR - when in fact they were ER+ PR+</t>
  </si>
  <si>
    <t>NG</t>
  </si>
  <si>
    <t>CL</t>
  </si>
  <si>
    <t>Validation Coding Legend</t>
  </si>
  <si>
    <r>
      <t>Source presence (</t>
    </r>
    <r>
      <rPr>
        <b/>
        <sz val="10"/>
        <color theme="1"/>
        <rFont val="Arial Unicode MS"/>
        <family val="2"/>
      </rPr>
      <t>*_status_source</t>
    </r>
    <r>
      <rPr>
        <b/>
        <sz val="11"/>
        <color theme="1"/>
        <rFont val="Aptos Narrow"/>
        <family val="2"/>
        <scheme val="minor"/>
      </rPr>
      <t>)</t>
    </r>
  </si>
  <si>
    <r>
      <t>0</t>
    </r>
    <r>
      <rPr>
        <sz val="11"/>
        <color theme="1"/>
        <rFont val="Aptos Narrow"/>
        <family val="2"/>
        <scheme val="minor"/>
      </rPr>
      <t xml:space="preserve"> = Absent from source document</t>
    </r>
  </si>
  <si>
    <r>
      <t>1</t>
    </r>
    <r>
      <rPr>
        <sz val="11"/>
        <color theme="1"/>
        <rFont val="Aptos Narrow"/>
        <family val="2"/>
        <scheme val="minor"/>
      </rPr>
      <t xml:space="preserve"> = Present in source document</t>
    </r>
  </si>
  <si>
    <r>
      <t>Summary evaluation (</t>
    </r>
    <r>
      <rPr>
        <b/>
        <sz val="10"/>
        <color theme="1"/>
        <rFont val="Arial Unicode MS"/>
        <family val="2"/>
      </rPr>
      <t>*_status_human</t>
    </r>
    <r>
      <rPr>
        <b/>
        <sz val="11"/>
        <color theme="1"/>
        <rFont val="Aptos Narrow"/>
        <family val="2"/>
        <scheme val="minor"/>
      </rPr>
      <t xml:space="preserve">, </t>
    </r>
    <r>
      <rPr>
        <b/>
        <sz val="10"/>
        <color theme="1"/>
        <rFont val="Arial Unicode MS"/>
        <family val="2"/>
      </rPr>
      <t>*_status_ai</t>
    </r>
    <r>
      <rPr>
        <b/>
        <sz val="11"/>
        <color theme="1"/>
        <rFont val="Aptos Narrow"/>
        <family val="2"/>
        <scheme val="minor"/>
      </rPr>
      <t>)</t>
    </r>
  </si>
  <si>
    <r>
      <t>NA</t>
    </r>
    <r>
      <rPr>
        <sz val="11"/>
        <color theme="1"/>
        <rFont val="Aptos Narrow"/>
        <family val="2"/>
        <scheme val="minor"/>
      </rPr>
      <t xml:space="preserve"> = Not applicable (use when source = 0)</t>
    </r>
  </si>
  <si>
    <r>
      <rPr>
        <b/>
        <sz val="11"/>
        <color rgb="FF000000"/>
        <rFont val="Calibri"/>
        <family val="2"/>
      </rPr>
      <t>1</t>
    </r>
    <r>
      <rPr>
        <sz val="11"/>
        <color rgb="FF000000"/>
        <rFont val="Calibri"/>
        <family val="2"/>
      </rPr>
      <t xml:space="preserve"> = Accurate representation (use clinical judgement)</t>
    </r>
  </si>
  <si>
    <r>
      <t>2</t>
    </r>
    <r>
      <rPr>
        <sz val="11"/>
        <color theme="1"/>
        <rFont val="Aptos Narrow"/>
        <family val="2"/>
        <scheme val="minor"/>
      </rPr>
      <t xml:space="preserve"> = Omission (present in source but missing from summary)</t>
    </r>
  </si>
  <si>
    <r>
      <t>3</t>
    </r>
    <r>
      <rPr>
        <sz val="11"/>
        <color theme="1"/>
        <rFont val="Aptos Narrow"/>
        <family val="2"/>
        <scheme val="minor"/>
      </rPr>
      <t xml:space="preserve"> = Fabrication (introduced or materially incorrect information)</t>
    </r>
  </si>
  <si>
    <r>
      <t>Rule:</t>
    </r>
    <r>
      <rPr>
        <sz val="11"/>
        <color theme="1"/>
        <rFont val="Aptos Narrow"/>
        <family val="2"/>
        <scheme val="minor"/>
      </rPr>
      <t xml:space="preserve"> If </t>
    </r>
    <r>
      <rPr>
        <sz val="10"/>
        <color theme="1"/>
        <rFont val="Arial Unicode MS"/>
        <family val="2"/>
      </rPr>
      <t>*_status_source = 0</t>
    </r>
    <r>
      <rPr>
        <sz val="11"/>
        <color theme="1"/>
        <rFont val="Aptos Narrow"/>
        <family val="2"/>
        <scheme val="minor"/>
      </rPr>
      <t xml:space="preserve">, both </t>
    </r>
    <r>
      <rPr>
        <sz val="10"/>
        <color theme="1"/>
        <rFont val="Arial Unicode MS"/>
        <family val="2"/>
      </rPr>
      <t>*_status_human</t>
    </r>
    <r>
      <rPr>
        <sz val="11"/>
        <color theme="1"/>
        <rFont val="Aptos Narrow"/>
        <family val="2"/>
        <scheme val="minor"/>
      </rPr>
      <t xml:space="preserve"> and </t>
    </r>
    <r>
      <rPr>
        <sz val="10"/>
        <color theme="1"/>
        <rFont val="Arial Unicode MS"/>
        <family val="2"/>
      </rPr>
      <t>*_status_ai</t>
    </r>
    <r>
      <rPr>
        <sz val="11"/>
        <color theme="1"/>
        <rFont val="Aptos Narrow"/>
        <family val="2"/>
        <scheme val="minor"/>
      </rPr>
      <t xml:space="preserve"> must be </t>
    </r>
    <r>
      <rPr>
        <b/>
        <sz val="11"/>
        <color theme="1"/>
        <rFont val="Aptos Narrow"/>
        <family val="2"/>
        <scheme val="minor"/>
      </rPr>
      <t>NA</t>
    </r>
    <r>
      <rPr>
        <sz val="11"/>
        <color theme="1"/>
        <rFont val="Aptos Narrow"/>
        <family val="2"/>
        <scheme val="minor"/>
      </rPr>
      <t>.</t>
    </r>
  </si>
  <si>
    <t>Lesion Size - as reresented across MMG/US/MRI, use clinincal judgement to determine if accurated represented by AI/Human in summary</t>
  </si>
  <si>
    <t>All columns refer to the index tumor/abnormality, leave note in comments for outliers</t>
  </si>
  <si>
    <t xml:space="preserve">MRI enhancement refers to suspicious enhancement around index tumor or elsewhere in the breast </t>
  </si>
  <si>
    <t xml:space="preserve">Clip placement accurate if clip type and displacement reported for all biopsied lesions </t>
  </si>
  <si>
    <t>Biopsy method accurate if correct for all biopsied lesions</t>
  </si>
  <si>
    <t>has_3_in_ai</t>
  </si>
  <si>
    <t>AI Failure Analysis — what predicts AI=3 (severe error)?</t>
  </si>
  <si>
    <t>15 of 200 rows (7.5%) had at least one field where AI got a severe error (status=3). This sheet analyzes what features distinguish those 15 rows from the other 185.</t>
  </si>
  <si>
    <t>1. WHICH FIELDS THE AI FAILS ON</t>
  </si>
  <si>
    <t>Field</t>
  </si>
  <si>
    <t># severe errors (AI=3)</t>
  </si>
  <si>
    <t>lesion_size</t>
  </si>
  <si>
    <t>workup_recommendation</t>
  </si>
  <si>
    <t>invasive_component_size_pathology</t>
  </si>
  <si>
    <t>receptor</t>
  </si>
  <si>
    <t>extent</t>
  </si>
  <si>
    <t>accurate_clip_placement</t>
  </si>
  <si>
    <t>chronology_preserved</t>
  </si>
  <si>
    <t>biopsy_method</t>
  </si>
  <si>
    <t>histologic_diagnosis</t>
  </si>
  <si>
    <t>laterality</t>
  </si>
  <si>
    <t>lesion_location</t>
  </si>
  <si>
    <t>calcifications_asymmetry</t>
  </si>
  <si>
    <t>additional_enhancement_mri</t>
  </si>
  <si>
    <t>Lymph node</t>
  </si>
  <si>
    <t>TOTAL</t>
  </si>
  <si>
    <t>Takeaway</t>
  </si>
  <si>
    <t>lesion_size alone accounts for 31% of all severe AI errors. Numeric measurement fields (lesion_size, invasive_component_size_pathology) and clinical-judgment fields (workup_recommendation, receptor) dominate. The AI does NOT fail on simple categorical fields (laterality, location, lymph node).</t>
  </si>
  <si>
    <t>2. SURGEON — does failure cluster on specific surgeons?</t>
  </si>
  <si>
    <t>Surgeon</t>
  </si>
  <si>
    <t>n cases</t>
  </si>
  <si>
    <t>n failures</t>
  </si>
  <si>
    <t>Failure rate</t>
  </si>
  <si>
    <t>(9 other surgeons)</t>
  </si>
  <si>
    <t>El-Tamer fails at 40% — 4x the cohort baseline of 7.5%. Montag is 2x. With only 10 cases each the sample is small, but these two surgeons account for 6 of 15 failures (40%). Cases involving them deserve extra QC.</t>
  </si>
  <si>
    <t>3. CASE CHARACTERISTICS</t>
  </si>
  <si>
    <t>Feature</t>
  </si>
  <si>
    <t>Group</t>
  </si>
  <si>
    <t>1 (Invasive)</t>
  </si>
  <si>
    <t>2 (DCIS)</t>
  </si>
  <si>
    <t>0 (not complex)</t>
  </si>
  <si>
    <t>1 (complex)</t>
  </si>
  <si>
    <t>DCIS cases fail slightly more often (11% vs 7%), but the sample is small. Surprisingly, 'complex case' flag does NOT predict AI failure — failure rate is actually lower for complex cases. Complexity, as labeled, is not what trips the AI up.</t>
  </si>
  <si>
    <t>4. SOURCE-DATA AVAILABILITY (does the AI fail when source is missing fields?)</t>
  </si>
  <si>
    <t>Metric</t>
  </si>
  <si>
    <t>Fail rows (n=15)</t>
  </si>
  <si>
    <t>Pass rows (n=185)</t>
  </si>
  <si>
    <t>Avg # fields with source=0 (not in source data)</t>
  </si>
  <si>
    <t>Avg # fields with human=2 (human noted minor issue)</t>
  </si>
  <si>
    <t>Avg # fields with AI=2 (AI minor issue)</t>
  </si>
  <si>
    <t>Source-data completeness is NOT the issue — fail and pass rows have nearly identical numbers of missing source fields. The AI is not failing because data was unavailable; it had access and got it wrong.</t>
  </si>
  <si>
    <t>5. HUMAN-vs-AI DISAGREEMENT — does the human catch the same things?</t>
  </si>
  <si>
    <t>Of the 16 specific field-level severe errors flagged by AI (across 15 rows):</t>
  </si>
  <si>
    <t>Human rated same field as 1 (no issue) — i.e. AI uniquely flagged</t>
  </si>
  <si>
    <t>Human ALSO flagged same field (human=2 or 3)</t>
  </si>
  <si>
    <t>In 14 of 16 severe-error events, the human reviewer rated the same field as clean (status=1). Either the AI is hallucinating errors that don't exist (false positives), or the AI is catching real errors the human missed. Either way, these 16 disagreements are the highest-value review targets in the entire dataset.</t>
  </si>
  <si>
    <t>6. THE 16 DISAGREEMENT EVENTS (drill-down)</t>
  </si>
  <si>
    <t>Row</t>
  </si>
  <si>
    <t>Source</t>
  </si>
  <si>
    <t>Human</t>
  </si>
  <si>
    <t>AI</t>
  </si>
  <si>
    <t>Green-shaded rows: human ALSO flagged the field (human=2). Other 14 events: human said clean, AI said severe error — these are the highest-value disagreement cases to triage.</t>
  </si>
  <si>
    <t>BOTTOM LINE</t>
  </si>
  <si>
    <t>1. The AI's failure mode is specific, not random: 9 of 16 severe errors (56%) are on numeric measurement fields (lesion_size, invasive_component_size_pathology) or clinical-judgment fields (workup_recommendation, receptor). It does not fail on simple categoricals (laterality, location, lymph node).</t>
  </si>
  <si>
    <t>2. Failures cluster on two surgeons (El-Tamer 40%, Montag 20%) — accounting for 40% of all failures. Worth investigating: are these surgeons' note-writing styles harder to parse, or is the sample just small?</t>
  </si>
  <si>
    <t>3. Source-data completeness, case complexity, and tumor type are NOT meaningful predictors of AI failure. The AI's mistakes are not driven by missing input data.</t>
  </si>
  <si>
    <t>4. In 14 of 16 severe-error events, the human reviewer rated the same field as clean. These are the cases that most need a third look — to determine whether the AI is hallucinating errors or catching real ones the human missed.</t>
  </si>
  <si>
    <t>% of failure events</t>
  </si>
  <si>
    <t>TOTAL events (15 rows; row 71 had 2 failed fields)</t>
  </si>
  <si>
    <t>y</t>
  </si>
  <si>
    <t>n (0.7 instead of 0.6)</t>
  </si>
  <si>
    <t>v2 corrected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</si>
</sst>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3.5"/>
      <color theme="1"/>
      <name val="Aptos Narrow"/>
      <family val="2"/>
      <scheme val="minor"/>
    </font>
    <font>
      <b/>
      <sz val="10"/>
      <color theme="1"/>
      <name val="Arial Unicode MS"/>
      <family val="2"/>
    </font>
    <font>
      <b/>
      <sz val="11"/>
      <color rgb="FF000000"/>
      <name val="Calibri"/>
      <family val="2"/>
    </font>
    <font>
      <sz val="11"/>
      <color rgb="FF000000"/>
      <name val="Calibri"/>
      <family val="2"/>
    </font>
    <font>
      <sz val="10"/>
      <color theme="1"/>
      <name val="Arial Unicode MS"/>
      <family val="2"/>
    </font>
    <font>
      <sz val="9"/>
      <color rgb="FF333333"/>
      <name val="Inherit"/>
      <charset val="1"/>
    </font>
    <font>
      <sz val="9"/>
      <color theme="1"/>
      <name val="Segoe UI"/>
      <family val="2"/>
    </font>
    <font>
      <sz val="9"/>
      <color rgb="FF333333"/>
      <name val="Segoe UI"/>
      <charset val="1"/>
    </font>
    <font>
      <b/>
      <sz val="11"/>
      <color rgb="FFFFFFFF"/>
      <name val="Aptos Narrow"/>
      <family val="2"/>
      <scheme val="minor"/>
    </font>
    <font>
      <b/>
      <sz val="14"/>
      <color theme="1"/>
      <name val="Aptos Narrow"/>
      <family val="2"/>
      <scheme val="minor"/>
    </font>
    <font>
      <i/>
      <sz val="11"/>
      <color theme="1"/>
      <name val="Aptos Narrow"/>
      <family val="2"/>
      <scheme val="minor"/>
    </font>
    <font>
      <b/>
      <sz val="12"/>
      <color theme="1"/>
      <name val="Aptos Narrow"/>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rgb="FFFFFF00"/>
        <bgColor indexed="64"/>
      </patternFill>
    </fill>
    <fill>
      <patternFill patternType="solid">
        <fgColor rgb="FFFFC000"/>
        <bgColor indexed="64"/>
      </patternFill>
    </fill>
    <fill>
      <patternFill patternType="solid">
        <fgColor rgb="FF305496"/>
        <bgColor indexed="64"/>
      </patternFill>
    </fill>
    <fill>
      <patternFill patternType="solid">
        <fgColor rgb="FFD9E1F2"/>
        <bgColor indexed="64"/>
      </patternFill>
    </fill>
    <fill>
      <patternFill patternType="solid">
        <fgColor rgb="FFFCE4D6"/>
        <bgColor indexed="64"/>
      </patternFill>
    </fill>
    <fill>
      <patternFill patternType="solid">
        <fgColor rgb="FFFFF2CC"/>
        <bgColor indexed="64"/>
      </patternFill>
    </fill>
    <fill>
      <patternFill patternType="solid">
        <fgColor rgb="FFC6EFCE"/>
        <bgColor indexed="64"/>
      </patternFill>
    </fill>
    <fill>
      <patternFill patternType="solid">
        <fgColor rgb="FFFFE69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7">
    <xf numFmtId="0" fontId="0" fillId="0" borderId="0" xfId="0"/>
    <xf numFmtId="0" fontId="18" fillId="0" borderId="0" xfId="0" applyFont="1" applyAlignment="1">
      <alignment vertical="center"/>
    </xf>
    <xf numFmtId="0" fontId="16" fillId="0" borderId="0" xfId="0" applyFont="1"/>
    <xf numFmtId="0" fontId="0" fillId="0" borderId="0" xfId="0" applyAlignment="1">
      <alignment horizontal="left" vertical="center" indent="1"/>
    </xf>
    <xf numFmtId="0" fontId="16" fillId="0" borderId="0" xfId="0" applyFont="1" applyAlignment="1">
      <alignment horizontal="left" vertical="center" indent="1"/>
    </xf>
    <xf numFmtId="0" fontId="20" fillId="0" borderId="0" xfId="0" applyFont="1" applyAlignment="1">
      <alignment horizontal="left" vertical="center" indent="1"/>
    </xf>
    <xf numFmtId="0" fontId="16" fillId="33" borderId="10" xfId="0" applyFont="1" applyFill="1" applyBorder="1" applyAlignment="1">
      <alignment wrapText="1"/>
    </xf>
    <xf numFmtId="0" fontId="16" fillId="33" borderId="10" xfId="0" quotePrefix="1" applyFont="1" applyFill="1" applyBorder="1" applyAlignment="1">
      <alignment horizontal="left" wrapText="1"/>
    </xf>
    <xf numFmtId="0" fontId="0" fillId="0" borderId="0" xfId="0" quotePrefix="1" applyAlignment="1">
      <alignment horizontal="left"/>
    </xf>
    <xf numFmtId="0" fontId="16" fillId="33" borderId="10" xfId="0" applyFont="1" applyFill="1" applyBorder="1" applyAlignment="1">
      <alignment horizontal="left" wrapText="1"/>
    </xf>
    <xf numFmtId="0" fontId="0" fillId="0" borderId="0" xfId="0" applyAlignment="1">
      <alignment horizontal="left"/>
    </xf>
    <xf numFmtId="0" fontId="0" fillId="0" borderId="0" xfId="0" quotePrefix="1"/>
    <xf numFmtId="0" fontId="24" fillId="0" borderId="0" xfId="0" applyFont="1"/>
    <xf numFmtId="0" fontId="25" fillId="0" borderId="0" xfId="0" applyFont="1"/>
    <xf numFmtId="0" fontId="14" fillId="0" borderId="0" xfId="0" applyFont="1"/>
    <xf numFmtId="0" fontId="0" fillId="0" borderId="0" xfId="0" applyAlignment="1">
      <alignment horizontal="right"/>
    </xf>
    <xf numFmtId="0" fontId="0" fillId="34" borderId="0" xfId="0" applyFill="1"/>
    <xf numFmtId="0" fontId="0" fillId="34" borderId="0" xfId="0" applyFill="1" applyAlignment="1">
      <alignment horizontal="left"/>
    </xf>
    <xf numFmtId="0" fontId="25" fillId="34" borderId="0" xfId="0" applyFont="1" applyFill="1"/>
    <xf numFmtId="0" fontId="0" fillId="34" borderId="0" xfId="0" quotePrefix="1" applyFill="1" applyAlignment="1">
      <alignment horizontal="left"/>
    </xf>
    <xf numFmtId="0" fontId="23" fillId="34" borderId="0" xfId="0" applyFont="1" applyFill="1"/>
    <xf numFmtId="0" fontId="0" fillId="35" borderId="0" xfId="0" applyFill="1"/>
    <xf numFmtId="0" fontId="0" fillId="35" borderId="0" xfId="0" applyFill="1" applyAlignment="1">
      <alignment horizontal="left"/>
    </xf>
    <xf numFmtId="0" fontId="0" fillId="35" borderId="0" xfId="0" quotePrefix="1" applyFill="1" applyAlignment="1">
      <alignment horizontal="left"/>
    </xf>
    <xf numFmtId="0" fontId="0" fillId="35" borderId="0" xfId="0" quotePrefix="1" applyFill="1"/>
    <xf numFmtId="0" fontId="26" fillId="36" borderId="0" xfId="0" applyFont="1" applyFill="1"/>
    <xf numFmtId="0" fontId="27" fillId="0" borderId="0" xfId="0" applyFont="1"/>
    <xf numFmtId="0" fontId="16" fillId="37" borderId="0" xfId="0" applyFont="1" applyFill="1"/>
    <xf numFmtId="9" fontId="0" fillId="0" borderId="0" xfId="0" applyNumberFormat="1"/>
    <xf numFmtId="9" fontId="16" fillId="0" borderId="0" xfId="0" applyNumberFormat="1" applyFont="1"/>
    <xf numFmtId="9" fontId="0" fillId="38" borderId="0" xfId="0" applyNumberFormat="1" applyFill="1"/>
    <xf numFmtId="9" fontId="0" fillId="39" borderId="0" xfId="0" applyNumberFormat="1" applyFill="1"/>
    <xf numFmtId="164" fontId="0" fillId="0" borderId="0" xfId="0" applyNumberFormat="1"/>
    <xf numFmtId="2" fontId="0" fillId="0" borderId="0" xfId="0" applyNumberFormat="1"/>
    <xf numFmtId="0" fontId="0" fillId="40" borderId="0" xfId="0" applyFill="1"/>
    <xf numFmtId="0" fontId="29" fillId="41" borderId="0" xfId="0" applyFont="1" applyFill="1"/>
    <xf numFmtId="0" fontId="28"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b/>
        <i val="0"/>
        <strike val="0"/>
        <condense val="0"/>
        <extend val="0"/>
        <outline val="0"/>
        <shadow val="0"/>
        <u val="none"/>
        <vertAlign val="baseline"/>
        <sz val="11"/>
        <color rgb="FFFFFFFF"/>
        <name val="Aptos Narrow"/>
        <family val="2"/>
        <scheme val="minor"/>
      </font>
      <fill>
        <patternFill patternType="solid">
          <fgColor indexed="64"/>
          <bgColor rgb="FF305496"/>
        </patternFill>
      </fill>
    </dxf>
    <dxf>
      <font>
        <b/>
      </font>
      <fill>
        <patternFill patternType="solid">
          <fgColor indexed="64"/>
          <bgColor rgb="FFD9E1F2"/>
        </patternFill>
      </fill>
    </dxf>
    <dxf>
      <border outline="0">
        <bottom style="medium">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0" tint="-0.249977111117893"/>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Moo, Tracy-Ann" id="{CFE43232-70A4-43E5-ABDD-93C1734953C9}" userId="S::moot@mskcc.org::e490a5e5-3539-44fa-b5fd-6796a84c504b" providerId="AD"/>
  <person displayName="Bayard, Solange" id="{E4951A67-BEC8-4C79-B500-60CA3F1DFFFD}" userId="S::bayards@mskcc.org::0bfc71b3-47ac-4eca-bbb9-e2df0165b159" providerId="AD"/>
  <person displayName="Giannakou, Andreas" id="{F1DC0108-F249-49E1-98F5-36E40ABA7D8B}" userId="S::giannaa1@mskcc.org::d78150d6-bb78-4b6a-a518-26d02b88c44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B590CE-740C-4FDC-8922-67D272CEB060}" name="Table1" displayName="Table1" ref="A1:AX201" totalsRowShown="0" headerRowDxfId="3" headerRowBorderDxfId="2">
  <autoFilter ref="A1:AX201" xr:uid="{584C148A-6371-4CFD-B431-759359210B44}">
    <filterColumn colId="49">
      <filters>
        <filter val="1"/>
      </filters>
    </filterColumn>
  </autoFilter>
  <tableColumns count="50">
    <tableColumn id="1" xr3:uid="{1F13E3FF-FB27-42C9-AF8C-5EB59A97AE7D}" name="Column1"/>
    <tableColumn id="2" xr3:uid="{29D41B94-0286-47B2-B272-255705D44324}" name="surgeon"/>
    <tableColumn id="3" xr3:uid="{6D4ABB98-5A1F-4E57-A724-198242CAA86A}" name="mrn"/>
    <tableColumn id="4" xr3:uid="{1FEBF282-E308-470A-AA94-298E18A73C75}" name="patient_initials"/>
    <tableColumn id="5" xr3:uid="{4FDD5B31-ECB1-4C47-B074-144010A48512}" name="tumor_invasive_dcis"/>
    <tableColumn id="6" xr3:uid="{CE03C12A-AF5B-4342-B7EC-7DB12561462B}" name="complex_case_status"/>
    <tableColumn id="7" xr3:uid="{2E2D024A-3401-4C7F-935F-4AAED449D969}" name="lesion_size_status_source"/>
    <tableColumn id="8" xr3:uid="{363021EE-2C5E-47F3-A587-770D456E31A2}" name="lesion_size_status_human"/>
    <tableColumn id="9" xr3:uid="{216BF887-B927-4B27-A3C4-F1C3152EB68A}" name="lesion_size_status_ai"/>
    <tableColumn id="10" xr3:uid="{E9903E22-3919-4276-A618-54FA024BBCF2}" name="laterality_status_source"/>
    <tableColumn id="11" xr3:uid="{6BCF1D58-A6AB-481B-A97D-25D5B6545628}" name="laterality_status_human"/>
    <tableColumn id="12" xr3:uid="{9415202C-91EF-42FD-AC30-1D613C0CD4D8}" name="laterality_status_ai"/>
    <tableColumn id="13" xr3:uid="{25A43C7F-DDFB-480A-BDA3-BD364DB2A8DB}" name="lesion_location_status_source"/>
    <tableColumn id="14" xr3:uid="{F20E3465-48E7-4813-9A7C-703BB54F3ACA}" name="lesion_location_status_human"/>
    <tableColumn id="15" xr3:uid="{10D915E9-4705-4446-905B-473E7BCDBBA1}" name="lesion_location_status_ai"/>
    <tableColumn id="16" xr3:uid="{95AD405C-BDEF-4AD9-B487-EA4BEDD66C25}" name="calcifications_asymmetry_status_source"/>
    <tableColumn id="17" xr3:uid="{04F12AAB-31FD-44CF-9D55-91DE8E116260}" name="calcifications_asymmetry_status_human"/>
    <tableColumn id="18" xr3:uid="{6CF62B1D-CAB3-4B04-9A80-FFFD42EB05AA}" name="calcifications_asymmetry_status_ai"/>
    <tableColumn id="19" xr3:uid="{40845BA2-F6D6-4412-ADA3-907873C8D4D1}" name="additional_enhancement_mri_status_source"/>
    <tableColumn id="20" xr3:uid="{4924AE80-1084-44E8-BB62-5829BBCC1179}" name="additional_enhancement_mri_status_human"/>
    <tableColumn id="21" xr3:uid="{82DD34C6-13EF-46C6-86E0-C39C0E5306EA}" name="additional_enhancement_mri_status_ai"/>
    <tableColumn id="22" xr3:uid="{37186BBE-0A1B-4837-ABD9-0EC67B3792C7}" name="extent_status_source"/>
    <tableColumn id="23" xr3:uid="{F3ABD729-13B4-4DEE-BB49-2212840EB94E}" name="extent_status_human"/>
    <tableColumn id="24" xr3:uid="{F9FD8874-A222-4066-A711-F1100B527A37}" name="extent_status_ai"/>
    <tableColumn id="25" xr3:uid="{0806C65A-5117-42D2-9F98-C18B507702EA}" name="accurate_clip_placement_status_source"/>
    <tableColumn id="26" xr3:uid="{A726A9A7-00B8-44AE-BF38-1BFB2315EC88}" name="accurate_clip_placement_status_human"/>
    <tableColumn id="27" xr3:uid="{7950139D-A8BE-4B9A-8096-B8B29A4CE1BE}" name="accurate_clip_placement_status_ai"/>
    <tableColumn id="28" xr3:uid="{8FBC0483-680C-4F7C-BC25-683A57E91B07}" name="workup_recommendation_status_source"/>
    <tableColumn id="29" xr3:uid="{51C585D3-717D-428C-9ECA-1831336EEA1E}" name="workup_recommendation_status_human"/>
    <tableColumn id="30" xr3:uid="{44742989-F1D9-4978-95C8-B6BB681B95CE}" name="workup_recommendation_status_ai"/>
    <tableColumn id="31" xr3:uid="{9F0E21B4-A7B4-4D63-98E0-D787359688BB}" name="Lymph node_status_source"/>
    <tableColumn id="32" xr3:uid="{8380E21C-EE41-4823-99AD-638EF8EE7531}" name="Lymph node_status_human"/>
    <tableColumn id="33" xr3:uid="{D9EA0DAD-8273-4D3C-95ED-B3CB18D02896}" name="Lymph node_status_ai"/>
    <tableColumn id="34" xr3:uid="{1B1EB2DC-2B13-44BD-9BE3-124BE6B3B17E}" name="chronology_preserved_status_source"/>
    <tableColumn id="35" xr3:uid="{872BEB0F-3E46-4070-B670-11129E6F68D8}" name="chronology_preserved_status_human"/>
    <tableColumn id="36" xr3:uid="{C7D50CCA-A858-4D9B-A0F9-0A74F0A41547}" name="chronology_preserved_status_ai"/>
    <tableColumn id="37" xr3:uid="{6764BD69-596E-4C5F-9ED1-425F8B14B9C9}" name="biopsy_method_status_source"/>
    <tableColumn id="38" xr3:uid="{77BCC8DB-0FA9-40B4-ADC1-FB23F855D7B9}" name="biopsy_method_status_human"/>
    <tableColumn id="39" xr3:uid="{AF5783DE-3C0A-4FC3-84EF-3187924CF7FE}" name="biopsy_method_status_ai"/>
    <tableColumn id="40" xr3:uid="{D6891033-64F9-4F07-A27C-B4FFD4592BB0}" name="invasive_component_size_pathology_status_source"/>
    <tableColumn id="41" xr3:uid="{84BC2695-2384-4237-8B7B-409C48CA73BA}" name="invasive_component_size_pathology_status_human"/>
    <tableColumn id="42" xr3:uid="{E621AAD9-A850-438E-8D86-C3EA09CAEE34}" name="invasive_component_size_pathology_status_ai"/>
    <tableColumn id="43" xr3:uid="{8C962E0C-B340-4BC5-AD11-53FB2A1AB528}" name="histologic_diagnosis_status_source"/>
    <tableColumn id="44" xr3:uid="{33698607-84F6-4BEF-BFFD-3785F42CAFC5}" name="histologic_diagnosis_status_human"/>
    <tableColumn id="45" xr3:uid="{C977DD74-CF92-4041-93EC-B191801AE628}" name="histologic_diagnosis_status_ai"/>
    <tableColumn id="46" xr3:uid="{8049918D-DEE1-4FF6-AF98-BB8DC360E534}" name="receptor_status_source"/>
    <tableColumn id="47" xr3:uid="{230C09F9-87D3-4ABF-B73C-0B53E553809A}" name="receptor_status_human"/>
    <tableColumn id="48" xr3:uid="{62EABB19-1D73-41AE-81AB-4B75E8C6EF98}" name="receptor_status_ai"/>
    <tableColumn id="49" xr3:uid="{7F424256-DA15-4217-8ACD-D687AB679179}" name="comments"/>
    <tableColumn id="50" xr3:uid="{16452204-8217-754D-BB87-9D32A857A49D}" name="has_3_in_ai">
      <calculatedColumnFormula>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A87DB3-01C5-1540-A824-ED4E60073BEC}" name="AI_Has_3_Table5" displayName="AI_Has_3_Table5" ref="A1:AX16" totalsRowShown="0" headerRowDxfId="0">
  <autoFilter ref="A1:AX16" xr:uid="{583C35AA-AE11-AE43-B15A-F27ABD93D202}"/>
  <tableColumns count="50">
    <tableColumn id="1" xr3:uid="{B528BACD-8B07-4741-B54D-AF8C3120F9E9}" name="Column1"/>
    <tableColumn id="2" xr3:uid="{57B26F2A-DCAA-5B49-8694-838B08F63D43}" name="surgeon"/>
    <tableColumn id="3" xr3:uid="{A5DA6745-9CE5-D142-8F00-3F799235A222}" name="mrn"/>
    <tableColumn id="4" xr3:uid="{91509763-546B-D542-8389-B42B820A0CA5}" name="patient_initials"/>
    <tableColumn id="5" xr3:uid="{858EDFDB-A9DA-914E-8474-498393FFE838}" name="tumor_invasive_dcis"/>
    <tableColumn id="6" xr3:uid="{8BD9188C-9581-2D4B-85DC-A2FE5B442DA1}" name="complex_case_status"/>
    <tableColumn id="7" xr3:uid="{115CBEE0-8A48-A648-82DB-0EE44F09FCF9}" name="lesion_size_status_source"/>
    <tableColumn id="8" xr3:uid="{E9DE46AE-D112-6645-A3EB-759C473970E9}" name="lesion_size_status_human"/>
    <tableColumn id="9" xr3:uid="{67C0F595-0521-7548-90F4-400176F8BAC1}" name="lesion_size_status_ai"/>
    <tableColumn id="10" xr3:uid="{28765A04-D364-B741-BFC5-67725DD54C26}" name="laterality_status_source"/>
    <tableColumn id="11" xr3:uid="{17FEB435-2AFF-3149-AE74-CF4532C033A3}" name="laterality_status_human"/>
    <tableColumn id="12" xr3:uid="{025F4866-6D88-324E-8ADB-F3661FE3B9D7}" name="laterality_status_ai"/>
    <tableColumn id="13" xr3:uid="{3D98C388-1019-504A-9E41-69C6DE8ACCC3}" name="lesion_location_status_source"/>
    <tableColumn id="14" xr3:uid="{EB6080A7-0374-514C-89D6-3895842C1105}" name="lesion_location_status_human"/>
    <tableColumn id="15" xr3:uid="{27D2D905-F33F-4745-A56E-E825C06FB75B}" name="lesion_location_status_ai"/>
    <tableColumn id="16" xr3:uid="{45D8FE92-7F0E-DE46-BD7F-DBFF441BCB0C}" name="calcifications_asymmetry_status_source"/>
    <tableColumn id="17" xr3:uid="{C11AD994-580D-7A4B-8D3A-8481E1484C72}" name="calcifications_asymmetry_status_human"/>
    <tableColumn id="18" xr3:uid="{4965E2D0-CE15-9544-8AAB-40076D3D7962}" name="calcifications_asymmetry_status_ai"/>
    <tableColumn id="19" xr3:uid="{A8ED4687-0C09-AA4A-9637-A0B1C468E108}" name="additional_enhancement_mri_status_source"/>
    <tableColumn id="20" xr3:uid="{584778DC-9440-4443-9D5C-231D2FC371D2}" name="additional_enhancement_mri_status_human"/>
    <tableColumn id="21" xr3:uid="{F458729D-F0C7-E441-B6B4-A2E1E798BBB3}" name="additional_enhancement_mri_status_ai"/>
    <tableColumn id="22" xr3:uid="{F3D0EDD7-26ED-5047-84CE-EBE98C26EC90}" name="extent_status_source"/>
    <tableColumn id="23" xr3:uid="{23388C70-607B-084A-B11D-ECB1BE4E3518}" name="extent_status_human"/>
    <tableColumn id="24" xr3:uid="{082FACA0-404A-444D-8A04-456E20385F75}" name="extent_status_ai"/>
    <tableColumn id="25" xr3:uid="{F5AFFDDB-6846-5B47-9FDA-F74894FED0D6}" name="accurate_clip_placement_status_source"/>
    <tableColumn id="26" xr3:uid="{8707E3F5-333C-154D-AF5A-1FD38BBFA9D8}" name="accurate_clip_placement_status_human"/>
    <tableColumn id="27" xr3:uid="{49009B70-4FD0-FF42-AE8B-4EE75CB6A243}" name="accurate_clip_placement_status_ai"/>
    <tableColumn id="28" xr3:uid="{54FAA0EF-4D7D-CC44-BB80-DA1635AA905D}" name="workup_recommendation_status_source"/>
    <tableColumn id="29" xr3:uid="{07A86C31-5E43-C648-9297-007750EE8245}" name="workup_recommendation_status_human"/>
    <tableColumn id="30" xr3:uid="{D698059C-73E2-B644-AE26-191D2BA9D948}" name="workup_recommendation_status_ai"/>
    <tableColumn id="31" xr3:uid="{144328AC-901E-3943-90D0-63812828FCC0}" name="Lymph node_status_source"/>
    <tableColumn id="32" xr3:uid="{1CAF17B4-E5AF-5C46-B04D-E1EBABA9F60A}" name="Lymph node_status_human"/>
    <tableColumn id="33" xr3:uid="{4C804D20-C863-8F41-AEBB-1814EF6C7440}" name="Lymph node_status_ai"/>
    <tableColumn id="34" xr3:uid="{CE72835C-C23B-8341-9EAB-3F5D09452E6E}" name="chronology_preserved_status_source"/>
    <tableColumn id="35" xr3:uid="{683371A5-0F70-CC40-B721-DFF046429873}" name="chronology_preserved_status_human"/>
    <tableColumn id="36" xr3:uid="{88D0C987-F67E-9245-BDC1-20E4967F1973}" name="chronology_preserved_status_ai"/>
    <tableColumn id="37" xr3:uid="{1886B318-83E1-5D44-99F7-DE6FF4DBBDC9}" name="biopsy_method_status_source"/>
    <tableColumn id="38" xr3:uid="{2C7AAF23-B062-504F-839D-336DF4E236CB}" name="biopsy_method_status_human"/>
    <tableColumn id="39" xr3:uid="{80D62ACD-96CD-0243-B1B5-373766828B74}" name="biopsy_method_status_ai"/>
    <tableColumn id="40" xr3:uid="{2E4B95DF-19D0-7A49-970C-1E3AB43415FE}" name="invasive_component_size_pathology_status_source"/>
    <tableColumn id="41" xr3:uid="{6CEE8EB2-686B-EA48-B09B-CC41332815F4}" name="invasive_component_size_pathology_status_human"/>
    <tableColumn id="42" xr3:uid="{075AD0C3-633F-9040-9B2F-7303211B7735}" name="invasive_component_size_pathology_status_ai"/>
    <tableColumn id="43" xr3:uid="{E6262302-45B7-444E-A75D-AA86B3659A3B}" name="histologic_diagnosis_status_source"/>
    <tableColumn id="44" xr3:uid="{4C33A10D-E382-0D45-8EE5-00BC053F5CD1}" name="histologic_diagnosis_status_human"/>
    <tableColumn id="45" xr3:uid="{0BA7EC2D-4CEC-5C4D-87D4-40934B47077D}" name="histologic_diagnosis_status_ai"/>
    <tableColumn id="46" xr3:uid="{8EAA7EC3-9969-CF4A-A4D4-C188FDFA511E}" name="receptor_status_source"/>
    <tableColumn id="47" xr3:uid="{1811D08C-1F53-0242-881C-FE150FBC66D9}" name="receptor_status_human"/>
    <tableColumn id="48" xr3:uid="{659C1F32-3B9E-C14A-865A-80FFB9C469B4}" name="receptor_status_ai"/>
    <tableColumn id="51" xr3:uid="{64A39A9E-C410-F24A-BBB8-EA1454748274}" name="v2 corrected"/>
    <tableColumn id="49" xr3:uid="{E1471149-2599-8346-BC38-9539DBF60E28}" name="commen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C8C87B-BD5C-D446-9FAB-38A7A559E069}" name="Human_Has_3_Table" displayName="Human_Has_3_Table" ref="A1:AW7" totalsRowShown="0" headerRowDxfId="1">
  <autoFilter ref="A1:AW7" xr:uid="{9BC8C87B-BD5C-D446-9FAB-38A7A559E069}"/>
  <tableColumns count="49">
    <tableColumn id="1" xr3:uid="{91B35385-1B55-CB4D-BAB8-DE72ECE1BE15}" name="Column1"/>
    <tableColumn id="2" xr3:uid="{C7AEAA20-C011-5946-956E-4CE14C773DCD}" name="surgeon"/>
    <tableColumn id="3" xr3:uid="{6F6E4D38-B1BF-5C4E-B1AB-92EAEE370DA4}" name="mrn"/>
    <tableColumn id="4" xr3:uid="{E1071EF1-765C-4F42-B137-254124B6747B}" name="patient_initials"/>
    <tableColumn id="5" xr3:uid="{8FCC8D81-A961-D043-9625-36C27DDD5AD2}" name="tumor_invasive_dcis"/>
    <tableColumn id="6" xr3:uid="{C506C0D2-0DD9-0045-AE43-47AB2D6BB0D9}" name="complex_case_status"/>
    <tableColumn id="7" xr3:uid="{9965587E-7E41-BF4B-AF63-23B51446DF37}" name="lesion_size_status_source"/>
    <tableColumn id="8" xr3:uid="{CF3525BF-9F5C-6D49-BD36-11CECA67A6F4}" name="lesion_size_status_human"/>
    <tableColumn id="9" xr3:uid="{86672063-4E7C-2F45-9F86-47C393187C57}" name="lesion_size_status_ai"/>
    <tableColumn id="10" xr3:uid="{3DF5F4DB-9FDB-064B-B843-D63A00367500}" name="laterality_status_source"/>
    <tableColumn id="11" xr3:uid="{300E9749-ACDC-4B45-A26C-AAA469D882EB}" name="laterality_status_human"/>
    <tableColumn id="12" xr3:uid="{EA520B85-AADB-A746-A62B-9B315199272E}" name="laterality_status_ai"/>
    <tableColumn id="13" xr3:uid="{E76E1698-264A-1C4E-B11D-BF11A2D2FA95}" name="lesion_location_status_source"/>
    <tableColumn id="14" xr3:uid="{4EFD329F-0CEE-444F-A15B-A5FF9D044D82}" name="lesion_location_status_human"/>
    <tableColumn id="15" xr3:uid="{373E3CBE-A628-9545-9550-A211B8C2D656}" name="lesion_location_status_ai"/>
    <tableColumn id="16" xr3:uid="{6028C3DB-D21D-DE4F-8FA2-2A06A67BD8FF}" name="calcifications_asymmetry_status_source"/>
    <tableColumn id="17" xr3:uid="{E6511E3D-049F-D541-B6B8-115D9053727A}" name="calcifications_asymmetry_status_human"/>
    <tableColumn id="18" xr3:uid="{C63CCF12-7FB7-2C43-8FDC-5236AF07C75D}" name="calcifications_asymmetry_status_ai"/>
    <tableColumn id="19" xr3:uid="{729210A9-91CD-824C-BBA0-77D13B15CAB6}" name="additional_enhancement_mri_status_source"/>
    <tableColumn id="20" xr3:uid="{2765FFF2-60A6-B349-8935-71ED2A19A403}" name="additional_enhancement_mri_status_human"/>
    <tableColumn id="21" xr3:uid="{BE2627CF-7645-5D43-911A-9ABCDB1FDC27}" name="additional_enhancement_mri_status_ai"/>
    <tableColumn id="22" xr3:uid="{7BA1FFD5-D93F-E747-9ED4-7515E8CFCF20}" name="extent_status_source"/>
    <tableColumn id="23" xr3:uid="{13E96A2F-47CC-0E4B-98BB-A9753CE496E8}" name="extent_status_human"/>
    <tableColumn id="24" xr3:uid="{53EE8C76-F58A-644C-84D1-D8275C741284}" name="extent_status_ai"/>
    <tableColumn id="25" xr3:uid="{6E842966-273F-814C-97AB-A7D2B3D9B49F}" name="accurate_clip_placement_status_source"/>
    <tableColumn id="26" xr3:uid="{B51BCF90-A39D-E84D-89EC-635D39CD9970}" name="accurate_clip_placement_status_human"/>
    <tableColumn id="27" xr3:uid="{E478E19C-1577-654D-813F-739AB436ADEE}" name="accurate_clip_placement_status_ai"/>
    <tableColumn id="28" xr3:uid="{2BFC8C8D-ED2D-FC42-9769-CFC9FBF76A4D}" name="workup_recommendation_status_source"/>
    <tableColumn id="29" xr3:uid="{86E5F698-CA84-3148-9531-202949122F1D}" name="workup_recommendation_status_human"/>
    <tableColumn id="30" xr3:uid="{5B7CAA1E-495F-EE4E-91C9-808B4CE26854}" name="workup_recommendation_status_ai"/>
    <tableColumn id="31" xr3:uid="{1DF4CB87-3D56-2648-8CA2-5A10A80843B2}" name="Lymph node_status_source"/>
    <tableColumn id="32" xr3:uid="{1A6F92FE-40C6-9043-8ED4-B2B35327AED5}" name="Lymph node_status_human"/>
    <tableColumn id="33" xr3:uid="{ADCC585B-34A6-C14C-B7F4-33EC61679938}" name="Lymph node_status_ai"/>
    <tableColumn id="34" xr3:uid="{B5B6C453-074D-374E-AC2E-CC85EC4D6E94}" name="chronology_preserved_status_source"/>
    <tableColumn id="35" xr3:uid="{F199990B-BB5E-DC43-90E3-CB863DB44D3A}" name="chronology_preserved_status_human"/>
    <tableColumn id="36" xr3:uid="{ED05FA07-5B7A-B449-B216-3CCE6B1211F7}" name="chronology_preserved_status_ai"/>
    <tableColumn id="37" xr3:uid="{20F2FC1F-46E7-7943-BAEE-D400CC528F09}" name="biopsy_method_status_source"/>
    <tableColumn id="38" xr3:uid="{CEF20F83-8B0C-7D46-B0FA-DC5E0D4060E1}" name="biopsy_method_status_human"/>
    <tableColumn id="39" xr3:uid="{B45059D1-0740-744E-9B28-D3DFCC5CDCD6}" name="biopsy_method_status_ai"/>
    <tableColumn id="40" xr3:uid="{F0A69708-56BB-A149-82DE-B87F6D545C7D}" name="invasive_component_size_pathology_status_source"/>
    <tableColumn id="41" xr3:uid="{54973513-1D7D-244E-A4E4-8BEF771C1F8D}" name="invasive_component_size_pathology_status_human"/>
    <tableColumn id="42" xr3:uid="{EF9899D1-52F2-734B-966F-F7385910CDAB}" name="invasive_component_size_pathology_status_ai"/>
    <tableColumn id="43" xr3:uid="{ED298178-9909-6341-B55A-F8FA0369C575}" name="histologic_diagnosis_status_source"/>
    <tableColumn id="44" xr3:uid="{7F362B5E-8F05-8646-A63B-2D1318CA9746}" name="histologic_diagnosis_status_human"/>
    <tableColumn id="45" xr3:uid="{315417D4-1E71-DC46-839D-3E7C3A94DA2A}" name="histologic_diagnosis_status_ai"/>
    <tableColumn id="46" xr3:uid="{64A5AB11-B8E5-4D4A-B469-E7ADAFA72B38}" name="receptor_status_source"/>
    <tableColumn id="47" xr3:uid="{851E9AAE-49AB-8C4F-A4BF-351394629F1D}" name="receptor_status_human"/>
    <tableColumn id="48" xr3:uid="{D94B9CF1-AC95-B74D-866B-2E17598EE16C}" name="receptor_status_ai"/>
    <tableColumn id="49" xr3:uid="{2328B0F5-18C5-404F-A4E2-2FC7D95470C3}" name="comme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4" dT="2025-12-31T02:12:13.63" personId="{E4951A67-BEC8-4C79-B500-60CA3F1DFFFD}" id="{29904FDC-3DDE-4934-9440-5B762D6D17E2}">
    <text>MMG says 1.2cm and human says 1.0</text>
  </threadedComment>
  <threadedComment ref="AV7" dT="2026-01-01T20:43:53.62" personId="{E4951A67-BEC8-4C79-B500-60CA3F1DFFFD}" id="{7D2F73DF-53CA-4326-BF57-6320E58CB104}">
    <text xml:space="preserve">receptors available in source, but bot reports missing.  Check to make sure bot had all documents.  </text>
  </threadedComment>
  <threadedComment ref="Z11" dT="2026-01-02T04:33:29.77" personId="{E4951A67-BEC8-4C79-B500-60CA3F1DFFFD}" id="{9E5EC08A-4FD1-4633-8BE2-20EC83118F2B}">
    <text>PPM reports clip placement, but human report no mention of clip</text>
  </threadedComment>
  <threadedComment ref="AA13" dT="2025-12-29T17:48:27.43" personId="{F1DC0108-F249-49E1-98F5-36E40ABA7D8B}" id="{1A7D0217-7C7F-4605-B9B0-ED03F4B30984}">
    <text xml:space="preserve">clip not deployed/seen on post-biopsy images however AI reports "Yes (confirmed on subsequent imaging)". All imaging reports comment on visible postbiopsy changes able to be targeted, maybe that was the source of consfusion for the model </text>
  </threadedComment>
  <threadedComment ref="I15" dT="2025-12-29T18:53:47.33" personId="{F1DC0108-F249-49E1-98F5-36E40ABA7D8B}" id="{A2A96E58-9228-4407-9278-1D15A61BBB01}">
    <text>this was identified as a gap by AI</text>
  </threadedComment>
  <threadedComment ref="S15" dT="2025-12-29T18:49:22.83" personId="{F1DC0108-F249-49E1-98F5-36E40ABA7D8B}" id="{B9EDA239-ED82-4787-BFA4-19373E168FC1}">
    <text>per chart review MRI performed and found NME, bx reports in source documents but not imaging reports</text>
  </threadedComment>
  <threadedComment ref="Y15" dT="2025-12-29T18:50:23.03" personId="{F1DC0108-F249-49E1-98F5-36E40ABA7D8B}" id="{C3FBFD8F-4ECA-4513-AD97-ACDDC8C7BB50}">
    <text>no post bx mammo in source, it is in the chart tho</text>
  </threadedComment>
  <threadedComment ref="AA15" dT="2025-12-29T18:51:23.22" personId="{F1DC0108-F249-49E1-98F5-36E40ABA7D8B}" id="{FE965CED-5C0F-4A24-8F51-0087FF983306}">
    <text>Correctly saying no post bx mammo</text>
  </threadedComment>
  <threadedComment ref="AA15" dT="2026-01-10T19:22:24.37" personId="{CFE43232-70A4-43E5-ABDD-93C1734953C9}" id="{C321A1C0-0F5D-4795-B0EF-6BCFBD289A7C}" parentId="{FE965CED-5C0F-4A24-8F51-0087FF983306}">
    <text>changed from score of 1 to NA (both human and AI) as source doc was not provided to bot</text>
  </threadedComment>
  <threadedComment ref="AA16" dT="2025-12-29T19:11:45.15" personId="{F1DC0108-F249-49E1-98F5-36E40ABA7D8B}" id="{153B8614-EDE5-4F73-A618-FA5FD8EE4172}">
    <text>did not comment on "accurate"</text>
  </threadedComment>
  <threadedComment ref="AJ16" dT="2025-12-29T19:18:22.57" personId="{F1DC0108-F249-49E1-98F5-36E40ABA7D8B}" id="{82C5040F-EA46-4300-9E2B-8350692B209E}">
    <text>it looks like it gets confused with the internal read timing so when it reports on US reports for example for this one, it reports on post biopsy changes and clips. But when it puts everythign in time it is correct</text>
  </threadedComment>
  <threadedComment ref="AU18" dT="2026-01-10T19:30:14.75" personId="{CFE43232-70A4-43E5-ABDD-93C1734953C9}" id="{D6F64086-60E7-4D9C-B599-9C1C9F330DA9}">
    <text>changed score from 1 to NA as bot did not have access to source doc</text>
  </threadedComment>
  <threadedComment ref="Z19" dT="2025-12-29T21:05:02.74" personId="{F1DC0108-F249-49E1-98F5-36E40ABA7D8B}" id="{6D60EBA5-8832-48FB-ADF5-FBEF149466F0}">
    <text xml:space="preserve">looks like human HPI had additional imaging reads at the time. </text>
  </threadedComment>
  <threadedComment ref="Z19" dT="2026-01-10T19:23:13.59" personId="{CFE43232-70A4-43E5-ABDD-93C1734953C9}" id="{5EC45D17-F733-45B4-AA6E-5ADAD716C53A}" parentId="{6D60EBA5-8832-48FB-ADF5-FBEF149466F0}">
    <text>changed from 1 to NA (human) as documents not provided to bot</text>
  </threadedComment>
  <threadedComment ref="Z31" dT="2026-01-02T16:18:01.69" personId="{F1DC0108-F249-49E1-98F5-36E40ABA7D8B}" id="{3D2C4521-67DA-4125-9607-23D9EDB6EAC4}">
    <text>Clip type reported on HPI but not in source. Will need to re-run probably</text>
  </threadedComment>
  <threadedComment ref="AJ40" dT="2026-01-02T19:23:19.65" personId="{F1DC0108-F249-49E1-98F5-36E40ABA7D8B}" id="{32946236-29B9-4A55-AF78-C4A2E934DC93}">
    <text xml:space="preserve">MRI happened before US. The dates are correct on AI but it presented the US first. </text>
  </threadedComment>
  <threadedComment ref="AU40" dT="2026-01-10T19:30:54.49" personId="{CFE43232-70A4-43E5-ABDD-93C1734953C9}" id="{1AFD3EE6-8097-4645-8E71-A93D37AE868C}">
    <text>changed from 1 to NA as bot did not have access to source document</text>
  </threadedComment>
  <threadedComment ref="AA41" dT="2026-01-02T19:40:31.84" personId="{F1DC0108-F249-49E1-98F5-36E40ABA7D8B}" id="{F7F85B19-2CF7-433B-A69D-ABDEF9975136}">
    <text>Source has the wrong post biopsy mammo (opposite side in future) but AI found the correct side and post biopsy mammo through our internal read. This happens often, combining the OSH and internal read. Not sure if we wat this or better to keep OSH and internal reads separate so two different runs for the bot</text>
  </threadedComment>
  <threadedComment ref="AG123" dT="2026-01-02T10:10:41.60" personId="{E4951A67-BEC8-4C79-B500-60CA3F1DFFFD}" id="{33942697-7C87-4131-A802-C48DBDE7E9C7}">
    <text>bot correctly identified node info missing</text>
  </threadedComment>
  <threadedComment ref="Q125" dT="2026-01-02T13:43:13.61" personId="{E4951A67-BEC8-4C79-B500-60CA3F1DFFFD}" id="{F2592C72-CF42-4FA2-B928-7C9B1C0E944A}">
    <text>mmm mentions retroareolar calls, which human HPI does not mention</text>
  </threadedComment>
  <threadedComment ref="AC126" dT="2026-01-03T01:31:23.81" personId="{E4951A67-BEC8-4C79-B500-60CA3F1DFFFD}" id="{7C11EEA2-3C57-424C-8E2C-84D604DF1152}">
    <text>recommendation for additional imaging missing from HPI (10/14), present in internal review (9/29)</text>
  </threadedComment>
  <threadedComment ref="AG129" dT="2026-01-03T02:52:27.09" personId="{E4951A67-BEC8-4C79-B500-60CA3F1DFFFD}" id="{5D0E9CB3-98A0-4B0D-BD7A-AE79C95D2982}">
    <text>source documents that right axilla is not imaged.  Neither human nor bot report that there is lack of imaging of axilla</text>
  </threadedComment>
  <threadedComment ref="AF133" dT="2026-01-03T05:06:56.01" personId="{E4951A67-BEC8-4C79-B500-60CA3F1DFFFD}" id="{076A6D7C-A348-41F3-AE3F-592FBC89819C}">
    <text>normal lymph nodes on left noted in source.  Bot picks up on this, missing from human HPI</text>
  </threadedComment>
  <threadedComment ref="AV134" dT="2026-01-03T05:17:55.05" personId="{E4951A67-BEC8-4C79-B500-60CA3F1DFFFD}" id="{64D8A1F9-BAD4-4B37-811A-E344E71B500D}">
    <text>correctly identified as missing</text>
  </threadedComment>
  <threadedComment ref="X138" dT="2026-01-03T22:10:47.74" personId="{E4951A67-BEC8-4C79-B500-60CA3F1DFFFD}" id="{80E27B18-AF02-48D7-8CE5-CC5C09F07810}">
    <text>Bot misses that the entirety of the 2 nodules spans 1.2 cm.  Poor quality PDF</text>
  </threadedComment>
  <threadedComment ref="AA138" dT="2026-01-03T22:05:30.11" personId="{E4951A67-BEC8-4C79-B500-60CA3F1DFFFD}" id="{8BB10517-3F14-4B7F-9470-1C82AA8558DF}">
    <text>Bot accurately identifies this as a gap</text>
  </threadedComment>
  <threadedComment ref="AP138" dT="2026-01-03T22:12:31.00" personId="{E4951A67-BEC8-4C79-B500-60CA3F1DFFFD}" id="{898E55B9-A2A8-43C3-8AD5-D6AE0F274457}">
    <text>Bot reports invasive component size 1.7 cm, but 1.1 cm in poor quality pdf</text>
  </threadedComment>
  <threadedComment ref="AP139" dT="2026-01-03T22:41:44.11" personId="{E4951A67-BEC8-4C79-B500-60CA3F1DFFFD}" id="{E1178814-BC42-4B62-9215-095BB44BEDE0}">
    <text>bot reports on usgbx 8/13 carcinoma with Venus clip deployed, but misses IDC and receptor profile which is further down in document</text>
  </threadedComment>
  <threadedComment ref="AU140" dT="2026-01-03T23:48:33.96" personId="{E4951A67-BEC8-4C79-B500-60CA3F1DFFFD}" id="{268BE175-5DE9-4D65-A1E1-70DC0C9CFC8F}">
    <text>receptors written in cc, but to in HPI</text>
  </threadedComment>
  <threadedComment ref="X143" dT="2026-01-10T19:40:57.69" personId="{CFE43232-70A4-43E5-ABDD-93C1734953C9}" id="{E8DF781F-F57C-4A96-AE45-6F0389E081DF}">
    <text>Reran bot with initial MRI, entered score as 1</text>
  </threadedComment>
  <threadedComment ref="I145" dT="2026-01-04T00:43:32.55" personId="{E4951A67-BEC8-4C79-B500-60CA3F1DFFFD}" id="{D7907A43-259E-49F2-9DB7-B7666E948108}">
    <text>Bot incorrectly reads initial left breast ultrasound as 6.5cm, when its 6mm.  It does however identify this as a size discrepancy and flags it to be checked</text>
  </threadedComment>
  <threadedComment ref="AC146" dT="2026-01-04T01:08:18.53" personId="{E4951A67-BEC8-4C79-B500-60CA3F1DFFFD}" id="{B58F77B1-EDA9-4486-A8D1-9FBFC080E708}">
    <text>misses posterior left breast mass may require bx depending on treatment plan</text>
  </threadedComment>
  <threadedComment ref="AV161" dT="2026-01-04T14:18:00.83" personId="{E4951A67-BEC8-4C79-B500-60CA3F1DFFFD}" id="{CC7DAB9E-CD83-4069-9D82-B861538A3C1A}">
    <text>reports as missing, but present in source PDF which is rotated</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E61AACB-7BAB-FA46-B637-1D28AE1373C1}">
  <we:reference id="wa200009404" version="1.0.0.8" store="en-US" storeType="OMEX"/>
  <we:alternateReferences>
    <we:reference id="wa200009404" version="1.0.0.8" store="en-US" storeType="OMEX"/>
  </we:alternateReferences>
  <we:properties>
    <we:property name="claude.fileId" value="&quot;2f733c18-a44d-46ba-8f80-c96a1dbdc78d&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C148A-6371-4CFD-B431-759359210B44}">
  <dimension ref="A1:AX1048561"/>
  <sheetViews>
    <sheetView zoomScale="85" zoomScaleNormal="85" workbookViewId="0">
      <pane ySplit="1" topLeftCell="A13" activePane="bottomLeft" state="frozen"/>
      <selection pane="bottomLeft" activeCell="C63" sqref="C63"/>
    </sheetView>
  </sheetViews>
  <sheetFormatPr baseColWidth="10" defaultColWidth="8.83203125" defaultRowHeight="15" customHeight="1"/>
  <cols>
    <col min="1" max="1" width="12.33203125" customWidth="1"/>
    <col min="2" max="2" width="24.5" customWidth="1"/>
    <col min="3" max="3" width="26.33203125" style="10" customWidth="1"/>
    <col min="4" max="4" width="11.5" bestFit="1" customWidth="1"/>
    <col min="5" max="5" width="22.33203125" customWidth="1"/>
    <col min="6" max="6" width="11.5" bestFit="1" customWidth="1"/>
    <col min="7" max="7" width="27.33203125" customWidth="1"/>
    <col min="8" max="8" width="26.1640625" customWidth="1"/>
    <col min="9" max="9" width="17.1640625" customWidth="1"/>
    <col min="10" max="10" width="19.6640625" customWidth="1"/>
    <col min="11" max="11" width="11.5" bestFit="1" customWidth="1"/>
    <col min="12" max="12" width="20.5" customWidth="1"/>
    <col min="13" max="13" width="21" customWidth="1"/>
    <col min="14" max="15" width="11.5" bestFit="1" customWidth="1"/>
    <col min="16" max="16" width="21" customWidth="1"/>
    <col min="17" max="18" width="11.5" bestFit="1" customWidth="1"/>
    <col min="19" max="19" width="19.6640625" customWidth="1"/>
    <col min="20" max="20" width="23.83203125" customWidth="1"/>
    <col min="21" max="21" width="23.6640625" customWidth="1"/>
    <col min="22" max="22" width="19.33203125" customWidth="1"/>
    <col min="23" max="23" width="17.83203125" customWidth="1"/>
    <col min="24" max="24" width="15.1640625" customWidth="1"/>
    <col min="25" max="27" width="11.5" bestFit="1" customWidth="1"/>
    <col min="28" max="28" width="13.6640625" customWidth="1"/>
    <col min="29" max="33" width="11.5" bestFit="1" customWidth="1"/>
    <col min="34" max="34" width="25.6640625" customWidth="1"/>
    <col min="35" max="35" width="17.6640625" customWidth="1"/>
    <col min="36" max="36" width="20" customWidth="1"/>
    <col min="37" max="41" width="11.5" bestFit="1" customWidth="1"/>
    <col min="42" max="42" width="18.5" customWidth="1"/>
    <col min="43" max="48" width="11.5" bestFit="1" customWidth="1"/>
    <col min="49" max="49" width="30.6640625" bestFit="1" customWidth="1"/>
  </cols>
  <sheetData>
    <row r="1" spans="1:50" s="6" customFormat="1" ht="89.25" customHeight="1" thickBot="1">
      <c r="A1" s="6" t="s">
        <v>0</v>
      </c>
      <c r="B1" s="7" t="s">
        <v>1</v>
      </c>
      <c r="C1" s="9" t="s">
        <v>2</v>
      </c>
      <c r="D1" s="7" t="s">
        <v>3</v>
      </c>
      <c r="E1" s="7" t="s">
        <v>4</v>
      </c>
      <c r="F1" s="7" t="s">
        <v>5</v>
      </c>
      <c r="G1" s="6" t="s">
        <v>6</v>
      </c>
      <c r="H1" s="6" t="s">
        <v>7</v>
      </c>
      <c r="I1" s="6" t="s">
        <v>8</v>
      </c>
      <c r="J1" s="6" t="s">
        <v>9</v>
      </c>
      <c r="K1" s="6" t="s">
        <v>10</v>
      </c>
      <c r="L1" s="6" t="s">
        <v>11</v>
      </c>
      <c r="M1" s="6" t="s">
        <v>12</v>
      </c>
      <c r="N1" s="6" t="s">
        <v>13</v>
      </c>
      <c r="O1" s="6" t="s">
        <v>14</v>
      </c>
      <c r="P1" s="6" t="s">
        <v>15</v>
      </c>
      <c r="Q1" s="6" t="s">
        <v>16</v>
      </c>
      <c r="R1" s="6" t="s">
        <v>17</v>
      </c>
      <c r="S1" s="7" t="s">
        <v>18</v>
      </c>
      <c r="T1" s="7" t="s">
        <v>19</v>
      </c>
      <c r="U1" s="7" t="s">
        <v>20</v>
      </c>
      <c r="V1" s="6" t="s">
        <v>21</v>
      </c>
      <c r="W1" s="6" t="s">
        <v>22</v>
      </c>
      <c r="X1" s="6" t="s">
        <v>23</v>
      </c>
      <c r="Y1" s="7" t="s">
        <v>24</v>
      </c>
      <c r="Z1" s="7" t="s">
        <v>25</v>
      </c>
      <c r="AA1" s="7" t="s">
        <v>26</v>
      </c>
      <c r="AB1" s="6" t="s">
        <v>27</v>
      </c>
      <c r="AC1" s="6" t="s">
        <v>28</v>
      </c>
      <c r="AD1" s="6" t="s">
        <v>29</v>
      </c>
      <c r="AE1" s="6" t="s">
        <v>30</v>
      </c>
      <c r="AF1" s="6" t="s">
        <v>31</v>
      </c>
      <c r="AG1" s="6" t="s">
        <v>32</v>
      </c>
      <c r="AH1" s="7" t="s">
        <v>33</v>
      </c>
      <c r="AI1" s="7" t="s">
        <v>34</v>
      </c>
      <c r="AJ1" s="7" t="s">
        <v>35</v>
      </c>
      <c r="AK1" s="7" t="s">
        <v>36</v>
      </c>
      <c r="AL1" s="7" t="s">
        <v>37</v>
      </c>
      <c r="AM1" s="7" t="s">
        <v>38</v>
      </c>
      <c r="AN1" s="7" t="s">
        <v>39</v>
      </c>
      <c r="AO1" s="7" t="s">
        <v>40</v>
      </c>
      <c r="AP1" s="7" t="s">
        <v>41</v>
      </c>
      <c r="AQ1" s="6" t="s">
        <v>42</v>
      </c>
      <c r="AR1" s="6" t="s">
        <v>43</v>
      </c>
      <c r="AS1" s="6" t="s">
        <v>44</v>
      </c>
      <c r="AT1" s="6" t="s">
        <v>45</v>
      </c>
      <c r="AU1" s="6" t="s">
        <v>46</v>
      </c>
      <c r="AV1" s="6" t="s">
        <v>47</v>
      </c>
      <c r="AW1" s="6" t="s">
        <v>48</v>
      </c>
      <c r="AX1" s="6" t="s">
        <v>314</v>
      </c>
    </row>
    <row r="2" spans="1:50" hidden="1">
      <c r="A2">
        <v>1</v>
      </c>
      <c r="B2" t="s">
        <v>49</v>
      </c>
      <c r="C2" s="10">
        <v>39096690</v>
      </c>
      <c r="D2" t="s">
        <v>50</v>
      </c>
      <c r="E2">
        <v>1</v>
      </c>
      <c r="F2">
        <v>1</v>
      </c>
      <c r="G2">
        <v>1</v>
      </c>
      <c r="H2">
        <v>1</v>
      </c>
      <c r="I2">
        <v>1</v>
      </c>
      <c r="J2">
        <v>1</v>
      </c>
      <c r="K2">
        <v>1</v>
      </c>
      <c r="L2">
        <v>1</v>
      </c>
      <c r="M2">
        <v>1</v>
      </c>
      <c r="N2">
        <v>1</v>
      </c>
      <c r="O2">
        <v>1</v>
      </c>
      <c r="P2">
        <v>0</v>
      </c>
      <c r="Q2" t="s">
        <v>51</v>
      </c>
      <c r="R2" t="s">
        <v>51</v>
      </c>
      <c r="S2">
        <v>1</v>
      </c>
      <c r="T2">
        <v>1</v>
      </c>
      <c r="U2">
        <v>1</v>
      </c>
      <c r="V2">
        <v>0</v>
      </c>
      <c r="W2" t="s">
        <v>51</v>
      </c>
      <c r="X2" t="s">
        <v>51</v>
      </c>
      <c r="Y2">
        <v>1</v>
      </c>
      <c r="Z2">
        <v>2</v>
      </c>
      <c r="AA2">
        <v>1</v>
      </c>
      <c r="AB2">
        <v>0</v>
      </c>
      <c r="AC2" t="s">
        <v>51</v>
      </c>
      <c r="AD2" t="s">
        <v>51</v>
      </c>
      <c r="AE2">
        <v>1</v>
      </c>
      <c r="AF2">
        <v>1</v>
      </c>
      <c r="AG2">
        <v>1</v>
      </c>
      <c r="AH2">
        <v>1</v>
      </c>
      <c r="AI2">
        <v>1</v>
      </c>
      <c r="AJ2">
        <v>1</v>
      </c>
      <c r="AK2">
        <v>1</v>
      </c>
      <c r="AL2">
        <v>2</v>
      </c>
      <c r="AM2">
        <v>1</v>
      </c>
      <c r="AN2">
        <v>1</v>
      </c>
      <c r="AO2">
        <v>2</v>
      </c>
      <c r="AP2">
        <v>1</v>
      </c>
      <c r="AQ2">
        <v>1</v>
      </c>
      <c r="AR2">
        <v>1</v>
      </c>
      <c r="AS2">
        <v>1</v>
      </c>
      <c r="AT2">
        <v>1</v>
      </c>
      <c r="AU2">
        <v>1</v>
      </c>
      <c r="AV2">
        <v>1</v>
      </c>
      <c r="AX2">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3" spans="1:50" hidden="1">
      <c r="A3">
        <v>2</v>
      </c>
      <c r="B3" t="s">
        <v>49</v>
      </c>
      <c r="C3" s="10">
        <v>39101906</v>
      </c>
      <c r="D3" t="s">
        <v>52</v>
      </c>
      <c r="E3">
        <v>1</v>
      </c>
      <c r="F3">
        <v>0</v>
      </c>
      <c r="G3">
        <v>1</v>
      </c>
      <c r="H3">
        <v>1</v>
      </c>
      <c r="I3">
        <v>1</v>
      </c>
      <c r="J3">
        <v>1</v>
      </c>
      <c r="K3">
        <v>1</v>
      </c>
      <c r="L3">
        <v>1</v>
      </c>
      <c r="M3">
        <v>1</v>
      </c>
      <c r="N3">
        <v>1</v>
      </c>
      <c r="O3">
        <v>1</v>
      </c>
      <c r="P3">
        <v>0</v>
      </c>
      <c r="Q3" t="s">
        <v>51</v>
      </c>
      <c r="R3" t="s">
        <v>51</v>
      </c>
      <c r="S3">
        <v>0</v>
      </c>
      <c r="T3" t="s">
        <v>51</v>
      </c>
      <c r="U3" t="s">
        <v>51</v>
      </c>
      <c r="V3">
        <v>0</v>
      </c>
      <c r="W3" t="s">
        <v>51</v>
      </c>
      <c r="X3" t="s">
        <v>51</v>
      </c>
      <c r="Y3">
        <v>1</v>
      </c>
      <c r="Z3">
        <v>1</v>
      </c>
      <c r="AA3">
        <v>1</v>
      </c>
      <c r="AB3">
        <v>1</v>
      </c>
      <c r="AC3">
        <v>1</v>
      </c>
      <c r="AD3">
        <v>2</v>
      </c>
      <c r="AE3">
        <v>1</v>
      </c>
      <c r="AF3">
        <v>1</v>
      </c>
      <c r="AG3">
        <v>1</v>
      </c>
      <c r="AH3">
        <v>1</v>
      </c>
      <c r="AI3">
        <v>1</v>
      </c>
      <c r="AJ3">
        <v>1</v>
      </c>
      <c r="AK3">
        <v>1</v>
      </c>
      <c r="AL3">
        <v>2</v>
      </c>
      <c r="AM3">
        <v>1</v>
      </c>
      <c r="AN3">
        <v>1</v>
      </c>
      <c r="AO3">
        <v>2</v>
      </c>
      <c r="AP3">
        <v>1</v>
      </c>
      <c r="AQ3">
        <v>1</v>
      </c>
      <c r="AR3">
        <v>1</v>
      </c>
      <c r="AS3">
        <v>1</v>
      </c>
      <c r="AT3">
        <v>1</v>
      </c>
      <c r="AU3">
        <v>1</v>
      </c>
      <c r="AV3">
        <v>2</v>
      </c>
      <c r="AW3" t="s">
        <v>53</v>
      </c>
      <c r="AX3">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4" spans="1:50" hidden="1">
      <c r="A4">
        <v>3</v>
      </c>
      <c r="B4" t="s">
        <v>49</v>
      </c>
      <c r="C4" s="10">
        <v>39104221</v>
      </c>
      <c r="D4" t="s">
        <v>54</v>
      </c>
      <c r="E4">
        <v>2</v>
      </c>
      <c r="F4">
        <v>0</v>
      </c>
      <c r="G4">
        <v>1</v>
      </c>
      <c r="H4">
        <v>2</v>
      </c>
      <c r="I4">
        <v>1</v>
      </c>
      <c r="J4">
        <v>1</v>
      </c>
      <c r="K4">
        <v>1</v>
      </c>
      <c r="L4">
        <v>1</v>
      </c>
      <c r="M4">
        <v>1</v>
      </c>
      <c r="N4">
        <v>1</v>
      </c>
      <c r="O4">
        <v>1</v>
      </c>
      <c r="P4">
        <v>1</v>
      </c>
      <c r="Q4">
        <v>1</v>
      </c>
      <c r="R4">
        <v>1</v>
      </c>
      <c r="S4">
        <v>0</v>
      </c>
      <c r="T4" t="s">
        <v>51</v>
      </c>
      <c r="U4" t="s">
        <v>51</v>
      </c>
      <c r="V4">
        <v>0</v>
      </c>
      <c r="W4" t="s">
        <v>51</v>
      </c>
      <c r="X4" t="s">
        <v>51</v>
      </c>
      <c r="Y4">
        <v>1</v>
      </c>
      <c r="Z4">
        <v>1</v>
      </c>
      <c r="AA4">
        <v>1</v>
      </c>
      <c r="AB4">
        <v>1</v>
      </c>
      <c r="AC4">
        <v>1</v>
      </c>
      <c r="AD4">
        <v>1</v>
      </c>
      <c r="AE4">
        <v>1</v>
      </c>
      <c r="AF4">
        <v>1</v>
      </c>
      <c r="AG4">
        <v>1</v>
      </c>
      <c r="AH4">
        <v>1</v>
      </c>
      <c r="AI4">
        <v>1</v>
      </c>
      <c r="AJ4">
        <v>1</v>
      </c>
      <c r="AK4">
        <v>1</v>
      </c>
      <c r="AL4">
        <v>1</v>
      </c>
      <c r="AM4">
        <v>1</v>
      </c>
      <c r="AN4">
        <v>0</v>
      </c>
      <c r="AO4" t="s">
        <v>51</v>
      </c>
      <c r="AP4" t="s">
        <v>51</v>
      </c>
      <c r="AQ4">
        <v>1</v>
      </c>
      <c r="AR4">
        <v>1</v>
      </c>
      <c r="AS4">
        <v>1</v>
      </c>
      <c r="AT4">
        <v>1</v>
      </c>
      <c r="AU4">
        <v>1</v>
      </c>
      <c r="AV4">
        <v>1</v>
      </c>
      <c r="AX4">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5" spans="1:50" hidden="1">
      <c r="A5">
        <v>4</v>
      </c>
      <c r="B5" t="s">
        <v>49</v>
      </c>
      <c r="C5" s="10">
        <v>39105042</v>
      </c>
      <c r="D5" t="s">
        <v>55</v>
      </c>
      <c r="E5">
        <v>1</v>
      </c>
      <c r="F5">
        <v>0</v>
      </c>
      <c r="G5">
        <v>1</v>
      </c>
      <c r="H5">
        <v>1</v>
      </c>
      <c r="I5">
        <v>1</v>
      </c>
      <c r="J5">
        <v>1</v>
      </c>
      <c r="K5">
        <v>1</v>
      </c>
      <c r="L5">
        <v>1</v>
      </c>
      <c r="M5">
        <v>1</v>
      </c>
      <c r="N5">
        <v>1</v>
      </c>
      <c r="O5">
        <v>1</v>
      </c>
      <c r="P5">
        <v>1</v>
      </c>
      <c r="Q5">
        <v>1</v>
      </c>
      <c r="R5">
        <v>1</v>
      </c>
      <c r="S5">
        <v>0</v>
      </c>
      <c r="T5" t="s">
        <v>51</v>
      </c>
      <c r="U5" t="s">
        <v>51</v>
      </c>
      <c r="V5">
        <v>0</v>
      </c>
      <c r="W5" t="s">
        <v>51</v>
      </c>
      <c r="X5" t="s">
        <v>51</v>
      </c>
      <c r="Y5">
        <v>1</v>
      </c>
      <c r="Z5">
        <v>1</v>
      </c>
      <c r="AA5">
        <v>1</v>
      </c>
      <c r="AB5">
        <v>1</v>
      </c>
      <c r="AC5">
        <v>1</v>
      </c>
      <c r="AD5">
        <v>1</v>
      </c>
      <c r="AE5">
        <v>1</v>
      </c>
      <c r="AF5">
        <v>1</v>
      </c>
      <c r="AG5">
        <v>1</v>
      </c>
      <c r="AH5">
        <v>1</v>
      </c>
      <c r="AI5">
        <v>1</v>
      </c>
      <c r="AJ5">
        <v>1</v>
      </c>
      <c r="AK5">
        <v>1</v>
      </c>
      <c r="AL5">
        <v>1</v>
      </c>
      <c r="AM5">
        <v>1</v>
      </c>
      <c r="AN5">
        <v>1</v>
      </c>
      <c r="AO5">
        <v>2</v>
      </c>
      <c r="AP5">
        <v>1</v>
      </c>
      <c r="AQ5">
        <v>1</v>
      </c>
      <c r="AR5">
        <v>1</v>
      </c>
      <c r="AS5">
        <v>1</v>
      </c>
      <c r="AT5">
        <v>1</v>
      </c>
      <c r="AU5">
        <v>1</v>
      </c>
      <c r="AV5">
        <v>1</v>
      </c>
      <c r="AX5">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6" spans="1:50" hidden="1">
      <c r="A6">
        <v>5</v>
      </c>
      <c r="B6" t="s">
        <v>49</v>
      </c>
      <c r="C6" s="10">
        <v>39105513</v>
      </c>
      <c r="D6" t="s">
        <v>56</v>
      </c>
      <c r="E6">
        <v>1</v>
      </c>
      <c r="F6">
        <v>0</v>
      </c>
      <c r="G6">
        <v>1</v>
      </c>
      <c r="H6">
        <v>1</v>
      </c>
      <c r="I6">
        <v>1</v>
      </c>
      <c r="J6">
        <v>1</v>
      </c>
      <c r="K6">
        <v>1</v>
      </c>
      <c r="L6">
        <v>1</v>
      </c>
      <c r="M6">
        <v>1</v>
      </c>
      <c r="N6">
        <v>1</v>
      </c>
      <c r="O6">
        <v>1</v>
      </c>
      <c r="P6">
        <v>0</v>
      </c>
      <c r="Q6" t="s">
        <v>51</v>
      </c>
      <c r="R6" t="s">
        <v>51</v>
      </c>
      <c r="S6">
        <v>0</v>
      </c>
      <c r="T6" t="s">
        <v>51</v>
      </c>
      <c r="U6" t="s">
        <v>51</v>
      </c>
      <c r="V6">
        <v>1</v>
      </c>
      <c r="W6">
        <v>1</v>
      </c>
      <c r="X6">
        <v>1</v>
      </c>
      <c r="Y6">
        <v>1</v>
      </c>
      <c r="Z6">
        <v>1</v>
      </c>
      <c r="AA6">
        <v>1</v>
      </c>
      <c r="AB6">
        <v>1</v>
      </c>
      <c r="AC6">
        <v>1</v>
      </c>
      <c r="AD6">
        <v>1</v>
      </c>
      <c r="AE6">
        <v>1</v>
      </c>
      <c r="AF6">
        <v>1</v>
      </c>
      <c r="AG6">
        <v>1</v>
      </c>
      <c r="AH6">
        <v>1</v>
      </c>
      <c r="AI6">
        <v>1</v>
      </c>
      <c r="AJ6">
        <v>1</v>
      </c>
      <c r="AK6">
        <v>1</v>
      </c>
      <c r="AL6">
        <v>1</v>
      </c>
      <c r="AM6">
        <v>1</v>
      </c>
      <c r="AN6">
        <v>1</v>
      </c>
      <c r="AO6">
        <v>2</v>
      </c>
      <c r="AP6">
        <v>1</v>
      </c>
      <c r="AQ6">
        <v>1</v>
      </c>
      <c r="AR6">
        <v>1</v>
      </c>
      <c r="AS6">
        <v>1</v>
      </c>
      <c r="AT6">
        <v>1</v>
      </c>
      <c r="AU6">
        <v>1</v>
      </c>
      <c r="AV6">
        <v>1</v>
      </c>
      <c r="AX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7" spans="1:50" hidden="1">
      <c r="A7">
        <v>6</v>
      </c>
      <c r="B7" t="s">
        <v>49</v>
      </c>
      <c r="C7" s="10">
        <v>39105513</v>
      </c>
      <c r="D7" t="s">
        <v>57</v>
      </c>
      <c r="E7">
        <v>1</v>
      </c>
      <c r="F7">
        <v>1</v>
      </c>
      <c r="G7">
        <v>1</v>
      </c>
      <c r="H7">
        <v>1</v>
      </c>
      <c r="I7">
        <v>1</v>
      </c>
      <c r="J7">
        <v>1</v>
      </c>
      <c r="K7">
        <v>1</v>
      </c>
      <c r="L7">
        <v>1</v>
      </c>
      <c r="M7">
        <v>1</v>
      </c>
      <c r="N7">
        <v>1</v>
      </c>
      <c r="O7">
        <v>1</v>
      </c>
      <c r="P7">
        <v>0</v>
      </c>
      <c r="Q7" t="s">
        <v>51</v>
      </c>
      <c r="R7" t="s">
        <v>51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2</v>
      </c>
      <c r="AP7">
        <v>1</v>
      </c>
      <c r="AQ7">
        <v>1</v>
      </c>
      <c r="AR7">
        <v>1</v>
      </c>
      <c r="AS7">
        <v>1</v>
      </c>
      <c r="AT7">
        <v>1</v>
      </c>
      <c r="AU7">
        <v>1</v>
      </c>
      <c r="AV7">
        <v>2</v>
      </c>
      <c r="AW7" t="s">
        <v>58</v>
      </c>
      <c r="AX7">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8" spans="1:50" hidden="1">
      <c r="A8">
        <v>7</v>
      </c>
      <c r="B8" t="s">
        <v>49</v>
      </c>
      <c r="C8" s="10">
        <v>39102489</v>
      </c>
      <c r="D8" t="s">
        <v>59</v>
      </c>
      <c r="E8">
        <v>1</v>
      </c>
      <c r="F8">
        <v>0</v>
      </c>
      <c r="G8">
        <v>1</v>
      </c>
      <c r="H8">
        <v>1</v>
      </c>
      <c r="I8">
        <v>1</v>
      </c>
      <c r="J8">
        <v>1</v>
      </c>
      <c r="K8">
        <v>1</v>
      </c>
      <c r="L8">
        <v>1</v>
      </c>
      <c r="M8">
        <v>1</v>
      </c>
      <c r="N8">
        <v>1</v>
      </c>
      <c r="O8">
        <v>1</v>
      </c>
      <c r="P8">
        <v>1</v>
      </c>
      <c r="Q8">
        <v>1</v>
      </c>
      <c r="R8">
        <v>1</v>
      </c>
      <c r="S8">
        <v>1</v>
      </c>
      <c r="T8">
        <v>1</v>
      </c>
      <c r="U8">
        <v>1</v>
      </c>
      <c r="V8">
        <v>0</v>
      </c>
      <c r="W8" t="s">
        <v>51</v>
      </c>
      <c r="X8" t="s">
        <v>51</v>
      </c>
      <c r="Y8">
        <v>1</v>
      </c>
      <c r="Z8">
        <v>1</v>
      </c>
      <c r="AA8">
        <v>1</v>
      </c>
      <c r="AB8">
        <v>1</v>
      </c>
      <c r="AC8">
        <v>1</v>
      </c>
      <c r="AD8">
        <v>1</v>
      </c>
      <c r="AE8">
        <v>1</v>
      </c>
      <c r="AF8">
        <v>1</v>
      </c>
      <c r="AG8">
        <v>1</v>
      </c>
      <c r="AH8">
        <v>1</v>
      </c>
      <c r="AI8">
        <v>1</v>
      </c>
      <c r="AJ8">
        <v>1</v>
      </c>
      <c r="AK8">
        <v>1</v>
      </c>
      <c r="AL8">
        <v>1</v>
      </c>
      <c r="AM8">
        <v>1</v>
      </c>
      <c r="AN8">
        <v>1</v>
      </c>
      <c r="AO8">
        <v>2</v>
      </c>
      <c r="AP8">
        <v>1</v>
      </c>
      <c r="AQ8">
        <v>1</v>
      </c>
      <c r="AR8">
        <v>1</v>
      </c>
      <c r="AS8">
        <v>1</v>
      </c>
      <c r="AT8">
        <v>1</v>
      </c>
      <c r="AU8">
        <v>1</v>
      </c>
      <c r="AV8">
        <v>1</v>
      </c>
      <c r="AX8">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9" spans="1:50" hidden="1">
      <c r="A9">
        <v>8</v>
      </c>
      <c r="B9" t="s">
        <v>49</v>
      </c>
      <c r="C9" s="8">
        <v>39114790</v>
      </c>
      <c r="D9" t="s">
        <v>60</v>
      </c>
      <c r="E9">
        <v>2</v>
      </c>
      <c r="F9">
        <v>0</v>
      </c>
      <c r="G9">
        <v>1</v>
      </c>
      <c r="H9">
        <v>1</v>
      </c>
      <c r="I9">
        <v>1</v>
      </c>
      <c r="J9">
        <v>1</v>
      </c>
      <c r="K9">
        <v>1</v>
      </c>
      <c r="L9">
        <v>1</v>
      </c>
      <c r="M9">
        <v>1</v>
      </c>
      <c r="N9">
        <v>1</v>
      </c>
      <c r="O9">
        <v>1</v>
      </c>
      <c r="P9">
        <v>0</v>
      </c>
      <c r="Q9" t="s">
        <v>51</v>
      </c>
      <c r="R9" t="s">
        <v>51</v>
      </c>
      <c r="S9">
        <v>1</v>
      </c>
      <c r="T9">
        <v>1</v>
      </c>
      <c r="U9">
        <v>1</v>
      </c>
      <c r="V9">
        <v>0</v>
      </c>
      <c r="W9" t="s">
        <v>51</v>
      </c>
      <c r="X9" t="s">
        <v>51</v>
      </c>
      <c r="Y9">
        <v>1</v>
      </c>
      <c r="Z9">
        <v>1</v>
      </c>
      <c r="AA9">
        <v>1</v>
      </c>
      <c r="AB9">
        <v>1</v>
      </c>
      <c r="AC9">
        <v>1</v>
      </c>
      <c r="AD9">
        <v>1</v>
      </c>
      <c r="AE9">
        <v>1</v>
      </c>
      <c r="AF9">
        <v>1</v>
      </c>
      <c r="AG9">
        <v>1</v>
      </c>
      <c r="AH9">
        <v>1</v>
      </c>
      <c r="AI9">
        <v>1</v>
      </c>
      <c r="AJ9">
        <v>1</v>
      </c>
      <c r="AK9">
        <v>1</v>
      </c>
      <c r="AL9">
        <v>1</v>
      </c>
      <c r="AM9">
        <v>1</v>
      </c>
      <c r="AN9">
        <v>1</v>
      </c>
      <c r="AO9">
        <v>2</v>
      </c>
      <c r="AP9">
        <v>1</v>
      </c>
      <c r="AQ9">
        <v>1</v>
      </c>
      <c r="AR9">
        <v>1</v>
      </c>
      <c r="AS9">
        <v>1</v>
      </c>
      <c r="AT9">
        <v>1</v>
      </c>
      <c r="AU9">
        <v>1</v>
      </c>
      <c r="AV9">
        <v>2</v>
      </c>
      <c r="AW9" t="s">
        <v>61</v>
      </c>
      <c r="AX9">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0" spans="1:50" hidden="1">
      <c r="A10">
        <v>9</v>
      </c>
      <c r="B10" t="s">
        <v>49</v>
      </c>
      <c r="C10" s="10">
        <v>39106637</v>
      </c>
      <c r="D10" t="s">
        <v>62</v>
      </c>
      <c r="E10">
        <v>1</v>
      </c>
      <c r="F10">
        <v>1</v>
      </c>
      <c r="G10">
        <v>1</v>
      </c>
      <c r="H10">
        <v>1</v>
      </c>
      <c r="I10">
        <v>1</v>
      </c>
      <c r="J10">
        <v>1</v>
      </c>
      <c r="K10">
        <v>1</v>
      </c>
      <c r="L10">
        <v>1</v>
      </c>
      <c r="M10">
        <v>1</v>
      </c>
      <c r="N10">
        <v>1</v>
      </c>
      <c r="O10">
        <v>1</v>
      </c>
      <c r="P10">
        <v>0</v>
      </c>
      <c r="Q10" t="s">
        <v>51</v>
      </c>
      <c r="R10" t="s">
        <v>51</v>
      </c>
      <c r="S10">
        <v>0</v>
      </c>
      <c r="T10" t="s">
        <v>51</v>
      </c>
      <c r="U10" t="s">
        <v>51</v>
      </c>
      <c r="V10">
        <v>0</v>
      </c>
      <c r="W10" t="s">
        <v>51</v>
      </c>
      <c r="X10" t="s">
        <v>51</v>
      </c>
      <c r="Y10">
        <v>1</v>
      </c>
      <c r="Z10">
        <v>1</v>
      </c>
      <c r="AA10">
        <v>1</v>
      </c>
      <c r="AB10">
        <v>0</v>
      </c>
      <c r="AC10" t="s">
        <v>51</v>
      </c>
      <c r="AD10" t="s">
        <v>51</v>
      </c>
      <c r="AE10">
        <v>1</v>
      </c>
      <c r="AF10">
        <v>1</v>
      </c>
      <c r="AG10">
        <v>1</v>
      </c>
      <c r="AH10">
        <v>1</v>
      </c>
      <c r="AI10">
        <v>1</v>
      </c>
      <c r="AJ10">
        <v>1</v>
      </c>
      <c r="AK10">
        <v>1</v>
      </c>
      <c r="AL10">
        <v>1</v>
      </c>
      <c r="AM10">
        <v>1</v>
      </c>
      <c r="AN10">
        <v>0</v>
      </c>
      <c r="AO10" t="s">
        <v>51</v>
      </c>
      <c r="AP10" t="s">
        <v>51</v>
      </c>
      <c r="AQ10">
        <v>1</v>
      </c>
      <c r="AR10">
        <v>1</v>
      </c>
      <c r="AS10">
        <v>1</v>
      </c>
      <c r="AT10">
        <v>1</v>
      </c>
      <c r="AU10">
        <v>1</v>
      </c>
      <c r="AV10">
        <v>1</v>
      </c>
      <c r="AX10">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1" spans="1:50" hidden="1">
      <c r="A11">
        <v>10</v>
      </c>
      <c r="B11" t="s">
        <v>49</v>
      </c>
      <c r="C11" s="10">
        <v>39110236</v>
      </c>
      <c r="D11" t="s">
        <v>63</v>
      </c>
      <c r="E11">
        <v>1</v>
      </c>
      <c r="F11">
        <v>0</v>
      </c>
      <c r="G11">
        <v>1</v>
      </c>
      <c r="H11">
        <v>1</v>
      </c>
      <c r="I11">
        <v>1</v>
      </c>
      <c r="J11">
        <v>1</v>
      </c>
      <c r="K11">
        <v>1</v>
      </c>
      <c r="L11">
        <v>1</v>
      </c>
      <c r="M11">
        <v>1</v>
      </c>
      <c r="N11">
        <v>1</v>
      </c>
      <c r="O11">
        <v>1</v>
      </c>
      <c r="P11">
        <v>0</v>
      </c>
      <c r="Q11" t="s">
        <v>51</v>
      </c>
      <c r="R11" t="s">
        <v>51</v>
      </c>
      <c r="S11">
        <v>0</v>
      </c>
      <c r="T11" t="s">
        <v>51</v>
      </c>
      <c r="U11" t="s">
        <v>51</v>
      </c>
      <c r="V11">
        <v>0</v>
      </c>
      <c r="W11" t="s">
        <v>51</v>
      </c>
      <c r="X11" t="s">
        <v>51</v>
      </c>
      <c r="Y11">
        <v>1</v>
      </c>
      <c r="Z11">
        <v>1</v>
      </c>
      <c r="AA11">
        <v>1</v>
      </c>
      <c r="AB11">
        <v>0</v>
      </c>
      <c r="AC11" t="s">
        <v>51</v>
      </c>
      <c r="AD11" t="s">
        <v>51</v>
      </c>
      <c r="AE11">
        <v>1</v>
      </c>
      <c r="AF11">
        <v>1</v>
      </c>
      <c r="AG11">
        <v>1</v>
      </c>
      <c r="AH11">
        <v>1</v>
      </c>
      <c r="AI11">
        <v>1</v>
      </c>
      <c r="AJ11">
        <v>1</v>
      </c>
      <c r="AK11">
        <v>1</v>
      </c>
      <c r="AL11">
        <v>1</v>
      </c>
      <c r="AM11">
        <v>1</v>
      </c>
      <c r="AN11">
        <v>1</v>
      </c>
      <c r="AO11">
        <v>2</v>
      </c>
      <c r="AP11">
        <v>1</v>
      </c>
      <c r="AQ11">
        <v>1</v>
      </c>
      <c r="AR11">
        <v>1</v>
      </c>
      <c r="AS11">
        <v>1</v>
      </c>
      <c r="AT11">
        <v>1</v>
      </c>
      <c r="AU11">
        <v>1</v>
      </c>
      <c r="AV11">
        <v>1</v>
      </c>
      <c r="AX11">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2" spans="1:50" hidden="1">
      <c r="A12">
        <v>11</v>
      </c>
      <c r="B12" t="s">
        <v>64</v>
      </c>
      <c r="C12" s="10">
        <v>39105473</v>
      </c>
      <c r="D12" t="s">
        <v>65</v>
      </c>
      <c r="E12">
        <v>1</v>
      </c>
      <c r="F12">
        <v>0</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1</v>
      </c>
      <c r="AW12" t="s">
        <v>66</v>
      </c>
      <c r="AX12">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3" spans="1:50" s="16" customFormat="1">
      <c r="A13" s="16">
        <v>12</v>
      </c>
      <c r="B13" s="16" t="s">
        <v>64</v>
      </c>
      <c r="C13" s="17">
        <v>39105473</v>
      </c>
      <c r="D13" s="16" t="s">
        <v>67</v>
      </c>
      <c r="E13" s="16">
        <v>2</v>
      </c>
      <c r="F13" s="16">
        <v>0</v>
      </c>
      <c r="G13" s="16">
        <v>1</v>
      </c>
      <c r="H13" s="16">
        <v>1</v>
      </c>
      <c r="I13" s="16">
        <v>1</v>
      </c>
      <c r="J13" s="16">
        <v>1</v>
      </c>
      <c r="K13" s="16">
        <v>1</v>
      </c>
      <c r="L13" s="16">
        <v>1</v>
      </c>
      <c r="M13" s="16">
        <v>1</v>
      </c>
      <c r="N13" s="16">
        <v>1</v>
      </c>
      <c r="O13" s="16">
        <v>1</v>
      </c>
      <c r="P13" s="16">
        <v>1</v>
      </c>
      <c r="Q13" s="16">
        <v>1</v>
      </c>
      <c r="R13" s="16">
        <v>1</v>
      </c>
      <c r="S13" s="16">
        <v>1</v>
      </c>
      <c r="T13" s="16">
        <v>1</v>
      </c>
      <c r="U13" s="16">
        <v>1</v>
      </c>
      <c r="V13" s="16">
        <v>0</v>
      </c>
      <c r="W13" s="16" t="s">
        <v>51</v>
      </c>
      <c r="X13" s="16" t="s">
        <v>51</v>
      </c>
      <c r="Y13" s="16">
        <v>1</v>
      </c>
      <c r="Z13" s="16">
        <v>1</v>
      </c>
      <c r="AA13" s="16">
        <v>3</v>
      </c>
      <c r="AB13" s="16">
        <v>1</v>
      </c>
      <c r="AC13" s="16">
        <v>1</v>
      </c>
      <c r="AD13" s="16">
        <v>1</v>
      </c>
      <c r="AE13" s="16">
        <v>1</v>
      </c>
      <c r="AF13" s="16">
        <v>1</v>
      </c>
      <c r="AG13" s="16">
        <v>1</v>
      </c>
      <c r="AH13" s="16">
        <v>1</v>
      </c>
      <c r="AI13" s="16">
        <v>1</v>
      </c>
      <c r="AJ13" s="16">
        <v>1</v>
      </c>
      <c r="AK13" s="16">
        <v>1</v>
      </c>
      <c r="AL13" s="16">
        <v>1</v>
      </c>
      <c r="AM13" s="16">
        <v>1</v>
      </c>
      <c r="AN13" s="16">
        <v>0</v>
      </c>
      <c r="AO13" s="16" t="s">
        <v>51</v>
      </c>
      <c r="AP13" s="16" t="s">
        <v>51</v>
      </c>
      <c r="AQ13" s="16">
        <v>1</v>
      </c>
      <c r="AR13" s="16">
        <v>1</v>
      </c>
      <c r="AS13" s="16">
        <v>1</v>
      </c>
      <c r="AT13" s="16">
        <v>1</v>
      </c>
      <c r="AU13" s="16">
        <v>1</v>
      </c>
      <c r="AV13" s="16">
        <v>1</v>
      </c>
      <c r="AW13" s="20" t="s">
        <v>68</v>
      </c>
      <c r="AX13" s="20">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1</v>
      </c>
    </row>
    <row r="14" spans="1:50" hidden="1">
      <c r="A14">
        <v>13</v>
      </c>
      <c r="B14" t="s">
        <v>64</v>
      </c>
      <c r="C14" s="10">
        <v>39107362</v>
      </c>
      <c r="D14" t="s">
        <v>60</v>
      </c>
      <c r="E14">
        <v>2</v>
      </c>
      <c r="F14">
        <v>0</v>
      </c>
      <c r="G14">
        <v>1</v>
      </c>
      <c r="H14">
        <v>1</v>
      </c>
      <c r="I14">
        <v>1</v>
      </c>
      <c r="J14">
        <v>1</v>
      </c>
      <c r="K14">
        <v>1</v>
      </c>
      <c r="L14">
        <v>1</v>
      </c>
      <c r="M14">
        <v>1</v>
      </c>
      <c r="N14">
        <v>1</v>
      </c>
      <c r="O14">
        <v>1</v>
      </c>
      <c r="P14">
        <v>1</v>
      </c>
      <c r="Q14">
        <v>1</v>
      </c>
      <c r="R14">
        <v>1</v>
      </c>
      <c r="S14">
        <v>0</v>
      </c>
      <c r="T14" t="s">
        <v>51</v>
      </c>
      <c r="U14" t="s">
        <v>51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2</v>
      </c>
      <c r="AQ14">
        <v>1</v>
      </c>
      <c r="AR14">
        <v>1</v>
      </c>
      <c r="AS14">
        <v>1</v>
      </c>
      <c r="AT14">
        <v>1</v>
      </c>
      <c r="AU14">
        <v>1</v>
      </c>
      <c r="AV14">
        <v>1</v>
      </c>
      <c r="AW14" t="s">
        <v>66</v>
      </c>
      <c r="AX14">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5" spans="1:50" hidden="1">
      <c r="A15">
        <v>14</v>
      </c>
      <c r="B15" t="s">
        <v>64</v>
      </c>
      <c r="C15" s="10">
        <v>35573568</v>
      </c>
      <c r="D15" t="s">
        <v>69</v>
      </c>
      <c r="E15">
        <v>1</v>
      </c>
      <c r="F15">
        <v>0</v>
      </c>
      <c r="G15">
        <v>1</v>
      </c>
      <c r="H15">
        <v>1</v>
      </c>
      <c r="I15">
        <v>2</v>
      </c>
      <c r="J15">
        <v>1</v>
      </c>
      <c r="K15">
        <v>1</v>
      </c>
      <c r="L15">
        <v>1</v>
      </c>
      <c r="M15">
        <v>1</v>
      </c>
      <c r="N15">
        <v>1</v>
      </c>
      <c r="O15">
        <v>1</v>
      </c>
      <c r="P15">
        <v>0</v>
      </c>
      <c r="Q15" t="s">
        <v>51</v>
      </c>
      <c r="R15" t="s">
        <v>51</v>
      </c>
      <c r="S15">
        <v>0</v>
      </c>
      <c r="T15" t="s">
        <v>51</v>
      </c>
      <c r="U15" t="s">
        <v>51</v>
      </c>
      <c r="V15">
        <v>1</v>
      </c>
      <c r="W15">
        <v>1</v>
      </c>
      <c r="X15">
        <v>2</v>
      </c>
      <c r="Y15">
        <v>0</v>
      </c>
      <c r="Z15" t="s">
        <v>70</v>
      </c>
      <c r="AA15" t="s">
        <v>70</v>
      </c>
      <c r="AB15">
        <v>0</v>
      </c>
      <c r="AC15" t="s">
        <v>51</v>
      </c>
      <c r="AD15" t="s">
        <v>51</v>
      </c>
      <c r="AE15">
        <v>0</v>
      </c>
      <c r="AF15" t="s">
        <v>51</v>
      </c>
      <c r="AG15" t="s">
        <v>51</v>
      </c>
      <c r="AH15">
        <v>1</v>
      </c>
      <c r="AI15">
        <v>1</v>
      </c>
      <c r="AJ15">
        <v>1</v>
      </c>
      <c r="AK15">
        <v>1</v>
      </c>
      <c r="AL15">
        <v>1</v>
      </c>
      <c r="AM15">
        <v>1</v>
      </c>
      <c r="AN15">
        <v>1</v>
      </c>
      <c r="AO15">
        <v>2</v>
      </c>
      <c r="AP15">
        <v>1</v>
      </c>
      <c r="AQ15">
        <v>1</v>
      </c>
      <c r="AR15">
        <v>1</v>
      </c>
      <c r="AS15">
        <v>1</v>
      </c>
      <c r="AT15">
        <v>1</v>
      </c>
      <c r="AU15">
        <v>1</v>
      </c>
      <c r="AV15">
        <v>1</v>
      </c>
      <c r="AW15" t="s">
        <v>71</v>
      </c>
      <c r="AX15">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6" spans="1:50" hidden="1">
      <c r="A16">
        <v>15</v>
      </c>
      <c r="B16" t="s">
        <v>64</v>
      </c>
      <c r="C16" s="10">
        <v>39109365</v>
      </c>
      <c r="D16" t="s">
        <v>54</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2</v>
      </c>
      <c r="AP16">
        <v>1</v>
      </c>
      <c r="AQ16">
        <v>1</v>
      </c>
      <c r="AR16">
        <v>1</v>
      </c>
      <c r="AS16">
        <v>1</v>
      </c>
      <c r="AT16">
        <v>1</v>
      </c>
      <c r="AU16">
        <v>1</v>
      </c>
      <c r="AV16">
        <v>2</v>
      </c>
      <c r="AX1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7" spans="1:50" hidden="1">
      <c r="A17">
        <v>16</v>
      </c>
      <c r="B17" t="s">
        <v>64</v>
      </c>
      <c r="C17" s="10">
        <v>39111192</v>
      </c>
      <c r="D17" t="s">
        <v>72</v>
      </c>
      <c r="E17">
        <v>1</v>
      </c>
      <c r="F17">
        <v>0</v>
      </c>
      <c r="G17">
        <v>1</v>
      </c>
      <c r="H17">
        <v>1</v>
      </c>
      <c r="I17">
        <v>1</v>
      </c>
      <c r="J17">
        <v>1</v>
      </c>
      <c r="K17">
        <v>1</v>
      </c>
      <c r="L17">
        <v>1</v>
      </c>
      <c r="M17">
        <v>1</v>
      </c>
      <c r="N17">
        <v>1</v>
      </c>
      <c r="O17">
        <v>1</v>
      </c>
      <c r="P17">
        <v>1</v>
      </c>
      <c r="Q17">
        <v>1</v>
      </c>
      <c r="R17">
        <v>1</v>
      </c>
      <c r="S17">
        <v>0</v>
      </c>
      <c r="T17" t="s">
        <v>51</v>
      </c>
      <c r="U17" t="s">
        <v>51</v>
      </c>
      <c r="V17">
        <v>0</v>
      </c>
      <c r="W17" t="s">
        <v>51</v>
      </c>
      <c r="X17" t="s">
        <v>51</v>
      </c>
      <c r="Y17">
        <v>1</v>
      </c>
      <c r="Z17">
        <v>1</v>
      </c>
      <c r="AA17">
        <v>1</v>
      </c>
      <c r="AB17">
        <v>1</v>
      </c>
      <c r="AC17">
        <v>1</v>
      </c>
      <c r="AD17">
        <v>1</v>
      </c>
      <c r="AE17">
        <v>1</v>
      </c>
      <c r="AF17">
        <v>1</v>
      </c>
      <c r="AG17">
        <v>1</v>
      </c>
      <c r="AH17">
        <v>1</v>
      </c>
      <c r="AI17">
        <v>1</v>
      </c>
      <c r="AJ17">
        <v>1</v>
      </c>
      <c r="AK17">
        <v>1</v>
      </c>
      <c r="AL17">
        <v>1</v>
      </c>
      <c r="AM17">
        <v>1</v>
      </c>
      <c r="AN17">
        <v>0</v>
      </c>
      <c r="AO17" t="s">
        <v>51</v>
      </c>
      <c r="AP17" t="s">
        <v>51</v>
      </c>
      <c r="AQ17">
        <v>1</v>
      </c>
      <c r="AR17">
        <v>1</v>
      </c>
      <c r="AS17">
        <v>1</v>
      </c>
      <c r="AT17">
        <v>1</v>
      </c>
      <c r="AU17">
        <v>1</v>
      </c>
      <c r="AV17">
        <v>1</v>
      </c>
      <c r="AX17">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8" spans="1:50" hidden="1">
      <c r="A18">
        <v>17</v>
      </c>
      <c r="B18" t="s">
        <v>64</v>
      </c>
      <c r="C18" s="10">
        <v>39113772</v>
      </c>
      <c r="D18" t="s">
        <v>73</v>
      </c>
      <c r="E18">
        <v>1</v>
      </c>
      <c r="F18">
        <v>0</v>
      </c>
      <c r="G18">
        <v>1</v>
      </c>
      <c r="H18">
        <v>1</v>
      </c>
      <c r="I18">
        <v>1</v>
      </c>
      <c r="J18">
        <v>1</v>
      </c>
      <c r="K18">
        <v>1</v>
      </c>
      <c r="L18">
        <v>1</v>
      </c>
      <c r="M18">
        <v>1</v>
      </c>
      <c r="N18">
        <v>1</v>
      </c>
      <c r="O18">
        <v>1</v>
      </c>
      <c r="P18">
        <v>1</v>
      </c>
      <c r="Q18">
        <v>2</v>
      </c>
      <c r="R18">
        <v>1</v>
      </c>
      <c r="S18">
        <v>0</v>
      </c>
      <c r="T18" t="s">
        <v>51</v>
      </c>
      <c r="U18" t="s">
        <v>51</v>
      </c>
      <c r="V18">
        <v>0</v>
      </c>
      <c r="W18" t="s">
        <v>51</v>
      </c>
      <c r="X18" t="s">
        <v>51</v>
      </c>
      <c r="Y18">
        <v>1</v>
      </c>
      <c r="Z18">
        <v>1</v>
      </c>
      <c r="AA18">
        <v>1</v>
      </c>
      <c r="AB18">
        <v>1</v>
      </c>
      <c r="AC18">
        <v>1</v>
      </c>
      <c r="AD18">
        <v>1</v>
      </c>
      <c r="AE18">
        <v>1</v>
      </c>
      <c r="AF18">
        <v>1</v>
      </c>
      <c r="AG18">
        <v>1</v>
      </c>
      <c r="AH18">
        <v>1</v>
      </c>
      <c r="AI18">
        <v>1</v>
      </c>
      <c r="AJ18">
        <v>1</v>
      </c>
      <c r="AK18">
        <v>1</v>
      </c>
      <c r="AL18">
        <v>1</v>
      </c>
      <c r="AM18">
        <v>1</v>
      </c>
      <c r="AN18">
        <v>1</v>
      </c>
      <c r="AO18">
        <v>2</v>
      </c>
      <c r="AP18">
        <v>1</v>
      </c>
      <c r="AQ18">
        <v>1</v>
      </c>
      <c r="AR18">
        <v>1</v>
      </c>
      <c r="AS18">
        <v>1</v>
      </c>
      <c r="AT18">
        <v>0</v>
      </c>
      <c r="AU18" t="s">
        <v>51</v>
      </c>
      <c r="AV18" t="s">
        <v>51</v>
      </c>
      <c r="AW18" t="s">
        <v>74</v>
      </c>
      <c r="AX18">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9" spans="1:50" hidden="1">
      <c r="A19">
        <v>18</v>
      </c>
      <c r="B19" t="s">
        <v>64</v>
      </c>
      <c r="C19" s="10">
        <v>39098454</v>
      </c>
      <c r="D19" t="s">
        <v>75</v>
      </c>
      <c r="E19">
        <v>1</v>
      </c>
      <c r="F19">
        <v>1</v>
      </c>
      <c r="G19">
        <v>1</v>
      </c>
      <c r="H19">
        <v>1</v>
      </c>
      <c r="I19">
        <v>1</v>
      </c>
      <c r="J19">
        <v>1</v>
      </c>
      <c r="K19">
        <v>1</v>
      </c>
      <c r="L19">
        <v>1</v>
      </c>
      <c r="M19">
        <v>1</v>
      </c>
      <c r="N19">
        <v>1</v>
      </c>
      <c r="O19">
        <v>1</v>
      </c>
      <c r="P19">
        <v>1</v>
      </c>
      <c r="Q19">
        <v>1</v>
      </c>
      <c r="R19">
        <v>1</v>
      </c>
      <c r="S19">
        <v>0</v>
      </c>
      <c r="T19" t="s">
        <v>51</v>
      </c>
      <c r="U19" t="s">
        <v>51</v>
      </c>
      <c r="V19">
        <v>1</v>
      </c>
      <c r="W19">
        <v>1</v>
      </c>
      <c r="X19">
        <v>1</v>
      </c>
      <c r="Y19">
        <v>0</v>
      </c>
      <c r="Z19" t="s">
        <v>70</v>
      </c>
      <c r="AA19" t="s">
        <v>51</v>
      </c>
      <c r="AB19">
        <v>1</v>
      </c>
      <c r="AC19">
        <v>1</v>
      </c>
      <c r="AD19">
        <v>1</v>
      </c>
      <c r="AE19">
        <v>1</v>
      </c>
      <c r="AF19">
        <v>1</v>
      </c>
      <c r="AG19">
        <v>1</v>
      </c>
      <c r="AH19">
        <v>1</v>
      </c>
      <c r="AI19">
        <v>1</v>
      </c>
      <c r="AJ19">
        <v>1</v>
      </c>
      <c r="AK19">
        <v>1</v>
      </c>
      <c r="AL19">
        <v>1</v>
      </c>
      <c r="AM19">
        <v>1</v>
      </c>
      <c r="AN19">
        <v>1</v>
      </c>
      <c r="AO19">
        <v>2</v>
      </c>
      <c r="AP19">
        <v>1</v>
      </c>
      <c r="AQ19">
        <v>1</v>
      </c>
      <c r="AR19">
        <v>1</v>
      </c>
      <c r="AS19">
        <v>1</v>
      </c>
      <c r="AT19">
        <v>1</v>
      </c>
      <c r="AU19">
        <v>1</v>
      </c>
      <c r="AV19">
        <v>1</v>
      </c>
      <c r="AW19" t="s">
        <v>76</v>
      </c>
      <c r="AX19">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20" spans="1:50" hidden="1">
      <c r="A20">
        <v>19</v>
      </c>
      <c r="B20" t="s">
        <v>64</v>
      </c>
      <c r="C20" s="10">
        <v>39103186</v>
      </c>
      <c r="D20" t="s">
        <v>77</v>
      </c>
      <c r="E20">
        <v>1</v>
      </c>
      <c r="F20">
        <v>0</v>
      </c>
      <c r="G20">
        <v>1</v>
      </c>
      <c r="H20">
        <v>1</v>
      </c>
      <c r="I20">
        <v>1</v>
      </c>
      <c r="J20">
        <v>1</v>
      </c>
      <c r="K20">
        <v>1</v>
      </c>
      <c r="L20">
        <v>1</v>
      </c>
      <c r="M20">
        <v>1</v>
      </c>
      <c r="N20">
        <v>1</v>
      </c>
      <c r="O20">
        <v>1</v>
      </c>
      <c r="P20">
        <v>0</v>
      </c>
      <c r="Q20" t="s">
        <v>51</v>
      </c>
      <c r="R20" t="s">
        <v>51</v>
      </c>
      <c r="S20">
        <v>1</v>
      </c>
      <c r="T20">
        <v>1</v>
      </c>
      <c r="U20">
        <v>1</v>
      </c>
      <c r="V20">
        <v>0</v>
      </c>
      <c r="W20" t="s">
        <v>51</v>
      </c>
      <c r="X20" t="s">
        <v>51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v>1</v>
      </c>
      <c r="AX20">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21" spans="1:50" hidden="1">
      <c r="A21">
        <v>20</v>
      </c>
      <c r="B21" t="s">
        <v>64</v>
      </c>
      <c r="C21" s="10">
        <v>39100629</v>
      </c>
      <c r="D21" t="s">
        <v>78</v>
      </c>
      <c r="E21">
        <v>1</v>
      </c>
      <c r="F21">
        <v>0</v>
      </c>
      <c r="G21">
        <v>1</v>
      </c>
      <c r="H21">
        <v>1</v>
      </c>
      <c r="I21">
        <v>1</v>
      </c>
      <c r="J21">
        <v>1</v>
      </c>
      <c r="K21">
        <v>1</v>
      </c>
      <c r="L21">
        <v>1</v>
      </c>
      <c r="M21">
        <v>1</v>
      </c>
      <c r="N21">
        <v>1</v>
      </c>
      <c r="O21">
        <v>1</v>
      </c>
      <c r="P21">
        <v>1</v>
      </c>
      <c r="Q21">
        <v>1</v>
      </c>
      <c r="R21">
        <v>1</v>
      </c>
      <c r="S21">
        <v>0</v>
      </c>
      <c r="T21" t="s">
        <v>51</v>
      </c>
      <c r="U21" t="s">
        <v>51</v>
      </c>
      <c r="V21">
        <v>0</v>
      </c>
      <c r="W21" t="s">
        <v>51</v>
      </c>
      <c r="X21" t="s">
        <v>51</v>
      </c>
      <c r="Y21">
        <v>1</v>
      </c>
      <c r="Z21">
        <v>1</v>
      </c>
      <c r="AA21">
        <v>1</v>
      </c>
      <c r="AB21">
        <v>1</v>
      </c>
      <c r="AC21">
        <v>1</v>
      </c>
      <c r="AD21">
        <v>1</v>
      </c>
      <c r="AE21">
        <v>1</v>
      </c>
      <c r="AF21">
        <v>2</v>
      </c>
      <c r="AG21">
        <v>1</v>
      </c>
      <c r="AH21">
        <v>1</v>
      </c>
      <c r="AI21">
        <v>1</v>
      </c>
      <c r="AJ21">
        <v>1</v>
      </c>
      <c r="AK21">
        <v>1</v>
      </c>
      <c r="AL21">
        <v>1</v>
      </c>
      <c r="AM21">
        <v>1</v>
      </c>
      <c r="AN21">
        <v>1</v>
      </c>
      <c r="AO21">
        <v>2</v>
      </c>
      <c r="AP21">
        <v>1</v>
      </c>
      <c r="AQ21">
        <v>1</v>
      </c>
      <c r="AR21">
        <v>1</v>
      </c>
      <c r="AS21">
        <v>1</v>
      </c>
      <c r="AT21">
        <v>1</v>
      </c>
      <c r="AU21">
        <v>1</v>
      </c>
      <c r="AV21">
        <v>1</v>
      </c>
      <c r="AX21">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22" spans="1:50" hidden="1">
      <c r="A22">
        <v>21</v>
      </c>
      <c r="B22" t="s">
        <v>79</v>
      </c>
      <c r="C22" s="10">
        <v>39105049</v>
      </c>
      <c r="D22" t="s">
        <v>80</v>
      </c>
      <c r="E22">
        <v>1</v>
      </c>
      <c r="F22">
        <v>0</v>
      </c>
      <c r="G22">
        <v>1</v>
      </c>
      <c r="H22">
        <v>1</v>
      </c>
      <c r="I22">
        <v>1</v>
      </c>
      <c r="J22">
        <v>1</v>
      </c>
      <c r="K22">
        <v>1</v>
      </c>
      <c r="L22">
        <v>1</v>
      </c>
      <c r="M22">
        <v>1</v>
      </c>
      <c r="N22">
        <v>1</v>
      </c>
      <c r="O22">
        <v>1</v>
      </c>
      <c r="P22">
        <v>1</v>
      </c>
      <c r="Q22">
        <v>1</v>
      </c>
      <c r="R22">
        <v>1</v>
      </c>
      <c r="S22">
        <v>0</v>
      </c>
      <c r="T22" t="s">
        <v>51</v>
      </c>
      <c r="U22" t="s">
        <v>51</v>
      </c>
      <c r="V22">
        <v>1</v>
      </c>
      <c r="W22">
        <v>1</v>
      </c>
      <c r="X22">
        <v>1</v>
      </c>
      <c r="Y22">
        <v>0</v>
      </c>
      <c r="Z22" t="s">
        <v>51</v>
      </c>
      <c r="AA22" t="s">
        <v>51</v>
      </c>
      <c r="AB22">
        <v>0</v>
      </c>
      <c r="AC22" t="s">
        <v>51</v>
      </c>
      <c r="AD22" t="s">
        <v>51</v>
      </c>
      <c r="AE22">
        <v>0</v>
      </c>
      <c r="AF22" t="s">
        <v>51</v>
      </c>
      <c r="AG22" t="s">
        <v>51</v>
      </c>
      <c r="AH22">
        <v>1</v>
      </c>
      <c r="AI22">
        <v>1</v>
      </c>
      <c r="AJ22">
        <v>1</v>
      </c>
      <c r="AK22">
        <v>1</v>
      </c>
      <c r="AL22">
        <v>1</v>
      </c>
      <c r="AM22">
        <v>1</v>
      </c>
      <c r="AN22">
        <v>1</v>
      </c>
      <c r="AO22">
        <v>2</v>
      </c>
      <c r="AP22">
        <v>1</v>
      </c>
      <c r="AQ22">
        <v>1</v>
      </c>
      <c r="AR22">
        <v>1</v>
      </c>
      <c r="AS22">
        <v>1</v>
      </c>
      <c r="AT22">
        <v>1</v>
      </c>
      <c r="AU22">
        <v>1</v>
      </c>
      <c r="AV22">
        <v>1</v>
      </c>
      <c r="AX22">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23" spans="1:50" hidden="1">
      <c r="A23">
        <v>22</v>
      </c>
      <c r="B23" t="s">
        <v>79</v>
      </c>
      <c r="C23" s="10">
        <v>39106341</v>
      </c>
      <c r="D23" t="s">
        <v>81</v>
      </c>
      <c r="E23">
        <v>1</v>
      </c>
      <c r="F23">
        <v>0</v>
      </c>
      <c r="G23">
        <v>1</v>
      </c>
      <c r="H23">
        <v>1</v>
      </c>
      <c r="I23">
        <v>1</v>
      </c>
      <c r="J23">
        <v>1</v>
      </c>
      <c r="K23">
        <v>1</v>
      </c>
      <c r="L23">
        <v>1</v>
      </c>
      <c r="M23">
        <v>1</v>
      </c>
      <c r="N23">
        <v>1</v>
      </c>
      <c r="O23">
        <v>1</v>
      </c>
      <c r="P23">
        <v>1</v>
      </c>
      <c r="Q23">
        <v>1</v>
      </c>
      <c r="R23">
        <v>1</v>
      </c>
      <c r="S23">
        <v>0</v>
      </c>
      <c r="T23" t="s">
        <v>51</v>
      </c>
      <c r="U23" t="s">
        <v>51</v>
      </c>
      <c r="V23">
        <v>1</v>
      </c>
      <c r="W23">
        <v>1</v>
      </c>
      <c r="X23">
        <v>1</v>
      </c>
      <c r="Y23">
        <v>0</v>
      </c>
      <c r="Z23" t="s">
        <v>51</v>
      </c>
      <c r="AA23" t="s">
        <v>51</v>
      </c>
      <c r="AB23">
        <v>1</v>
      </c>
      <c r="AC23">
        <v>1</v>
      </c>
      <c r="AD23">
        <v>1</v>
      </c>
      <c r="AE23">
        <v>1</v>
      </c>
      <c r="AF23">
        <v>1</v>
      </c>
      <c r="AG23">
        <v>1</v>
      </c>
      <c r="AH23">
        <v>1</v>
      </c>
      <c r="AI23">
        <v>1</v>
      </c>
      <c r="AJ23">
        <v>1</v>
      </c>
      <c r="AK23">
        <v>1</v>
      </c>
      <c r="AL23">
        <v>1</v>
      </c>
      <c r="AM23">
        <v>1</v>
      </c>
      <c r="AN23">
        <v>1</v>
      </c>
      <c r="AO23">
        <v>1</v>
      </c>
      <c r="AP23">
        <v>1</v>
      </c>
      <c r="AQ23">
        <v>1</v>
      </c>
      <c r="AR23">
        <v>1</v>
      </c>
      <c r="AS23">
        <v>1</v>
      </c>
      <c r="AT23">
        <v>0</v>
      </c>
      <c r="AU23" t="s">
        <v>51</v>
      </c>
      <c r="AV23" t="s">
        <v>51</v>
      </c>
      <c r="AX23">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24" spans="1:50" hidden="1">
      <c r="A24">
        <v>23</v>
      </c>
      <c r="B24" t="s">
        <v>79</v>
      </c>
      <c r="C24" s="10">
        <v>39105182</v>
      </c>
      <c r="D24" t="s">
        <v>82</v>
      </c>
      <c r="E24">
        <v>2</v>
      </c>
      <c r="F24">
        <v>0</v>
      </c>
      <c r="G24">
        <v>1</v>
      </c>
      <c r="H24">
        <v>2</v>
      </c>
      <c r="I24">
        <v>1</v>
      </c>
      <c r="J24">
        <v>1</v>
      </c>
      <c r="K24">
        <v>1</v>
      </c>
      <c r="L24">
        <v>1</v>
      </c>
      <c r="M24">
        <v>1</v>
      </c>
      <c r="N24">
        <v>2</v>
      </c>
      <c r="O24">
        <v>1</v>
      </c>
      <c r="P24">
        <v>0</v>
      </c>
      <c r="Q24" t="s">
        <v>51</v>
      </c>
      <c r="R24" t="s">
        <v>51</v>
      </c>
      <c r="S24">
        <v>1</v>
      </c>
      <c r="T24">
        <v>2</v>
      </c>
      <c r="U24">
        <v>1</v>
      </c>
      <c r="V24">
        <v>1</v>
      </c>
      <c r="W24">
        <v>2</v>
      </c>
      <c r="X24">
        <v>1</v>
      </c>
      <c r="Y24">
        <v>0</v>
      </c>
      <c r="Z24" t="s">
        <v>51</v>
      </c>
      <c r="AA24" t="s">
        <v>51</v>
      </c>
      <c r="AB24">
        <v>0</v>
      </c>
      <c r="AC24" t="s">
        <v>51</v>
      </c>
      <c r="AD24" t="s">
        <v>51</v>
      </c>
      <c r="AE24">
        <v>1</v>
      </c>
      <c r="AF24">
        <v>2</v>
      </c>
      <c r="AG24">
        <v>1</v>
      </c>
      <c r="AH24">
        <v>0</v>
      </c>
      <c r="AI24" t="s">
        <v>51</v>
      </c>
      <c r="AJ24" t="s">
        <v>51</v>
      </c>
      <c r="AK24">
        <v>1</v>
      </c>
      <c r="AL24">
        <v>2</v>
      </c>
      <c r="AM24">
        <v>1</v>
      </c>
      <c r="AN24">
        <v>0</v>
      </c>
      <c r="AO24" t="s">
        <v>51</v>
      </c>
      <c r="AP24" t="s">
        <v>51</v>
      </c>
      <c r="AQ24">
        <v>1</v>
      </c>
      <c r="AR24">
        <v>1</v>
      </c>
      <c r="AS24">
        <v>1</v>
      </c>
      <c r="AT24">
        <v>1</v>
      </c>
      <c r="AU24">
        <v>1</v>
      </c>
      <c r="AV24">
        <v>1</v>
      </c>
      <c r="AW24" t="s">
        <v>83</v>
      </c>
      <c r="AX24">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25" spans="1:50" hidden="1">
      <c r="A25">
        <v>24</v>
      </c>
      <c r="B25" t="s">
        <v>79</v>
      </c>
      <c r="C25" s="10">
        <v>39107666</v>
      </c>
      <c r="D25" t="s">
        <v>84</v>
      </c>
      <c r="E25">
        <v>1</v>
      </c>
      <c r="F25">
        <v>0</v>
      </c>
      <c r="G25">
        <v>1</v>
      </c>
      <c r="H25">
        <v>1</v>
      </c>
      <c r="I25">
        <v>1</v>
      </c>
      <c r="J25">
        <v>1</v>
      </c>
      <c r="K25">
        <v>1</v>
      </c>
      <c r="L25">
        <v>1</v>
      </c>
      <c r="M25">
        <v>1</v>
      </c>
      <c r="N25">
        <v>1</v>
      </c>
      <c r="O25">
        <v>1</v>
      </c>
      <c r="P25">
        <v>0</v>
      </c>
      <c r="Q25" t="s">
        <v>51</v>
      </c>
      <c r="R25" t="s">
        <v>51</v>
      </c>
      <c r="S25">
        <v>0</v>
      </c>
      <c r="T25" t="s">
        <v>51</v>
      </c>
      <c r="U25" t="s">
        <v>51</v>
      </c>
      <c r="V25">
        <v>1</v>
      </c>
      <c r="W25">
        <v>1</v>
      </c>
      <c r="X25">
        <v>1</v>
      </c>
      <c r="Y25">
        <v>1</v>
      </c>
      <c r="Z25">
        <v>1</v>
      </c>
      <c r="AA25">
        <v>1</v>
      </c>
      <c r="AB25">
        <v>1</v>
      </c>
      <c r="AC25">
        <v>2</v>
      </c>
      <c r="AD25">
        <v>1</v>
      </c>
      <c r="AE25">
        <v>1</v>
      </c>
      <c r="AF25">
        <v>2</v>
      </c>
      <c r="AG25">
        <v>1</v>
      </c>
      <c r="AH25">
        <v>1</v>
      </c>
      <c r="AI25">
        <v>1</v>
      </c>
      <c r="AJ25">
        <v>1</v>
      </c>
      <c r="AK25">
        <v>1</v>
      </c>
      <c r="AL25">
        <v>1</v>
      </c>
      <c r="AM25">
        <v>1</v>
      </c>
      <c r="AN25">
        <v>1</v>
      </c>
      <c r="AO25">
        <v>2</v>
      </c>
      <c r="AP25">
        <v>1</v>
      </c>
      <c r="AQ25">
        <v>1</v>
      </c>
      <c r="AR25">
        <v>2</v>
      </c>
      <c r="AS25">
        <v>1</v>
      </c>
      <c r="AT25">
        <v>1</v>
      </c>
      <c r="AU25">
        <v>2</v>
      </c>
      <c r="AV25">
        <v>1</v>
      </c>
      <c r="AW25" t="s">
        <v>85</v>
      </c>
      <c r="AX25">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26" spans="1:50" hidden="1">
      <c r="A26">
        <v>25</v>
      </c>
      <c r="B26" t="s">
        <v>79</v>
      </c>
      <c r="C26" s="10">
        <v>39108044</v>
      </c>
      <c r="D26" t="s">
        <v>86</v>
      </c>
      <c r="E26">
        <v>1</v>
      </c>
      <c r="F26">
        <v>0</v>
      </c>
      <c r="G26">
        <v>1</v>
      </c>
      <c r="H26">
        <v>2</v>
      </c>
      <c r="I26">
        <v>1</v>
      </c>
      <c r="J26">
        <v>1</v>
      </c>
      <c r="K26">
        <v>1</v>
      </c>
      <c r="L26">
        <v>1</v>
      </c>
      <c r="M26">
        <v>1</v>
      </c>
      <c r="N26">
        <v>1</v>
      </c>
      <c r="O26">
        <v>1</v>
      </c>
      <c r="P26">
        <v>1</v>
      </c>
      <c r="Q26">
        <v>2</v>
      </c>
      <c r="R26">
        <v>1</v>
      </c>
      <c r="S26">
        <v>1</v>
      </c>
      <c r="T26">
        <v>2</v>
      </c>
      <c r="U26">
        <v>1</v>
      </c>
      <c r="V26">
        <v>1</v>
      </c>
      <c r="W26">
        <v>2</v>
      </c>
      <c r="X26">
        <v>1</v>
      </c>
      <c r="Y26">
        <v>1</v>
      </c>
      <c r="Z26">
        <v>2</v>
      </c>
      <c r="AA26">
        <v>1</v>
      </c>
      <c r="AB26">
        <v>1</v>
      </c>
      <c r="AC26">
        <v>2</v>
      </c>
      <c r="AD26">
        <v>1</v>
      </c>
      <c r="AE26">
        <v>1</v>
      </c>
      <c r="AF26">
        <v>2</v>
      </c>
      <c r="AG26">
        <v>1</v>
      </c>
      <c r="AH26">
        <v>1</v>
      </c>
      <c r="AI26">
        <v>2</v>
      </c>
      <c r="AJ26">
        <v>1</v>
      </c>
      <c r="AK26">
        <v>1</v>
      </c>
      <c r="AL26">
        <v>1</v>
      </c>
      <c r="AM26">
        <v>1</v>
      </c>
      <c r="AN26">
        <v>1</v>
      </c>
      <c r="AO26">
        <v>2</v>
      </c>
      <c r="AP26">
        <v>1</v>
      </c>
      <c r="AQ26">
        <v>1</v>
      </c>
      <c r="AR26">
        <v>1</v>
      </c>
      <c r="AS26">
        <v>1</v>
      </c>
      <c r="AT26">
        <v>1</v>
      </c>
      <c r="AU26">
        <v>1</v>
      </c>
      <c r="AV26">
        <v>1</v>
      </c>
      <c r="AX2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27" spans="1:50" hidden="1">
      <c r="A27">
        <v>26</v>
      </c>
      <c r="B27" t="s">
        <v>79</v>
      </c>
      <c r="C27" s="10">
        <v>39108617</v>
      </c>
      <c r="D27" t="s">
        <v>87</v>
      </c>
      <c r="E27">
        <v>1</v>
      </c>
      <c r="F27">
        <v>0</v>
      </c>
      <c r="G27">
        <v>1</v>
      </c>
      <c r="H27">
        <v>1</v>
      </c>
      <c r="I27">
        <v>1</v>
      </c>
      <c r="J27">
        <v>1</v>
      </c>
      <c r="K27">
        <v>1</v>
      </c>
      <c r="L27">
        <v>1</v>
      </c>
      <c r="M27">
        <v>1</v>
      </c>
      <c r="N27">
        <v>1</v>
      </c>
      <c r="O27">
        <v>1</v>
      </c>
      <c r="P27">
        <v>0</v>
      </c>
      <c r="Q27" t="s">
        <v>51</v>
      </c>
      <c r="R27" t="s">
        <v>51</v>
      </c>
      <c r="S27">
        <v>0</v>
      </c>
      <c r="T27" t="s">
        <v>51</v>
      </c>
      <c r="U27" t="s">
        <v>51</v>
      </c>
      <c r="V27">
        <v>1</v>
      </c>
      <c r="W27">
        <v>1</v>
      </c>
      <c r="X27">
        <v>1</v>
      </c>
      <c r="Y27">
        <v>1</v>
      </c>
      <c r="Z27">
        <v>2</v>
      </c>
      <c r="AA27">
        <v>1</v>
      </c>
      <c r="AB27">
        <v>0</v>
      </c>
      <c r="AC27" t="s">
        <v>51</v>
      </c>
      <c r="AD27" t="s">
        <v>51</v>
      </c>
      <c r="AE27">
        <v>1</v>
      </c>
      <c r="AF27">
        <v>1</v>
      </c>
      <c r="AG27">
        <v>1</v>
      </c>
      <c r="AH27">
        <v>1</v>
      </c>
      <c r="AI27">
        <v>1</v>
      </c>
      <c r="AJ27">
        <v>1</v>
      </c>
      <c r="AK27">
        <v>1</v>
      </c>
      <c r="AL27">
        <v>1</v>
      </c>
      <c r="AM27">
        <v>1</v>
      </c>
      <c r="AN27">
        <v>1</v>
      </c>
      <c r="AO27">
        <v>1</v>
      </c>
      <c r="AP27">
        <v>1</v>
      </c>
      <c r="AQ27">
        <v>1</v>
      </c>
      <c r="AR27">
        <v>1</v>
      </c>
      <c r="AS27">
        <v>1</v>
      </c>
      <c r="AT27">
        <v>1</v>
      </c>
      <c r="AU27">
        <v>1</v>
      </c>
      <c r="AV27">
        <v>1</v>
      </c>
      <c r="AX27">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28" spans="1:50" hidden="1">
      <c r="A28">
        <v>27</v>
      </c>
      <c r="B28" t="s">
        <v>79</v>
      </c>
      <c r="C28" s="10">
        <v>39107939</v>
      </c>
      <c r="D28" t="s">
        <v>88</v>
      </c>
      <c r="E28">
        <v>1</v>
      </c>
      <c r="F28">
        <v>0</v>
      </c>
      <c r="G28">
        <v>1</v>
      </c>
      <c r="H28">
        <v>1</v>
      </c>
      <c r="I28">
        <v>1</v>
      </c>
      <c r="J28">
        <v>1</v>
      </c>
      <c r="K28">
        <v>1</v>
      </c>
      <c r="L28">
        <v>1</v>
      </c>
      <c r="M28">
        <v>1</v>
      </c>
      <c r="N28">
        <v>1</v>
      </c>
      <c r="O28">
        <v>1</v>
      </c>
      <c r="P28">
        <v>1</v>
      </c>
      <c r="Q28">
        <v>1</v>
      </c>
      <c r="R28">
        <v>1</v>
      </c>
      <c r="S28">
        <v>0</v>
      </c>
      <c r="T28" t="s">
        <v>51</v>
      </c>
      <c r="U28" t="s">
        <v>51</v>
      </c>
      <c r="V28">
        <v>1</v>
      </c>
      <c r="W28">
        <v>1</v>
      </c>
      <c r="X28">
        <v>1</v>
      </c>
      <c r="Y28">
        <v>1</v>
      </c>
      <c r="Z28">
        <v>1</v>
      </c>
      <c r="AA28">
        <v>1</v>
      </c>
      <c r="AB28">
        <v>1</v>
      </c>
      <c r="AC28">
        <v>2</v>
      </c>
      <c r="AD28">
        <v>1</v>
      </c>
      <c r="AE28">
        <v>1</v>
      </c>
      <c r="AF28">
        <v>2</v>
      </c>
      <c r="AG28">
        <v>1</v>
      </c>
      <c r="AH28">
        <v>1</v>
      </c>
      <c r="AI28">
        <v>1</v>
      </c>
      <c r="AJ28">
        <v>1</v>
      </c>
      <c r="AK28">
        <v>1</v>
      </c>
      <c r="AL28">
        <v>1</v>
      </c>
      <c r="AM28">
        <v>1</v>
      </c>
      <c r="AN28">
        <v>1</v>
      </c>
      <c r="AO28">
        <v>1</v>
      </c>
      <c r="AP28">
        <v>1</v>
      </c>
      <c r="AQ28">
        <v>1</v>
      </c>
      <c r="AR28">
        <v>1</v>
      </c>
      <c r="AS28">
        <v>1</v>
      </c>
      <c r="AT28">
        <v>1</v>
      </c>
      <c r="AU28">
        <v>1</v>
      </c>
      <c r="AV28">
        <v>1</v>
      </c>
      <c r="AX28">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29" spans="1:50" hidden="1">
      <c r="A29">
        <v>28</v>
      </c>
      <c r="B29" t="s">
        <v>79</v>
      </c>
      <c r="C29" s="10">
        <v>39107923</v>
      </c>
      <c r="D29" t="s">
        <v>89</v>
      </c>
      <c r="E29">
        <v>1</v>
      </c>
      <c r="F29">
        <v>0</v>
      </c>
      <c r="G29">
        <v>1</v>
      </c>
      <c r="H29">
        <v>1</v>
      </c>
      <c r="I29">
        <v>1</v>
      </c>
      <c r="J29">
        <v>1</v>
      </c>
      <c r="K29">
        <v>1</v>
      </c>
      <c r="L29">
        <v>1</v>
      </c>
      <c r="M29">
        <v>1</v>
      </c>
      <c r="N29">
        <v>1</v>
      </c>
      <c r="O29">
        <v>1</v>
      </c>
      <c r="P29">
        <v>1</v>
      </c>
      <c r="Q29">
        <v>1</v>
      </c>
      <c r="R29">
        <v>1</v>
      </c>
      <c r="S29">
        <v>0</v>
      </c>
      <c r="T29" t="s">
        <v>51</v>
      </c>
      <c r="U29" t="s">
        <v>51</v>
      </c>
      <c r="V29">
        <v>1</v>
      </c>
      <c r="W29">
        <v>1</v>
      </c>
      <c r="X29">
        <v>1</v>
      </c>
      <c r="Y29">
        <v>1</v>
      </c>
      <c r="Z29">
        <v>1</v>
      </c>
      <c r="AA29">
        <v>1</v>
      </c>
      <c r="AB29">
        <v>1</v>
      </c>
      <c r="AC29">
        <v>2</v>
      </c>
      <c r="AD29">
        <v>1</v>
      </c>
      <c r="AE29">
        <v>1</v>
      </c>
      <c r="AF29">
        <v>1</v>
      </c>
      <c r="AG29">
        <v>1</v>
      </c>
      <c r="AH29">
        <v>1</v>
      </c>
      <c r="AI29">
        <v>1</v>
      </c>
      <c r="AJ29">
        <v>1</v>
      </c>
      <c r="AK29">
        <v>1</v>
      </c>
      <c r="AL29">
        <v>1</v>
      </c>
      <c r="AM29">
        <v>1</v>
      </c>
      <c r="AN29">
        <v>1</v>
      </c>
      <c r="AO29">
        <v>1</v>
      </c>
      <c r="AP29">
        <v>1</v>
      </c>
      <c r="AQ29">
        <v>1</v>
      </c>
      <c r="AR29">
        <v>1</v>
      </c>
      <c r="AS29">
        <v>1</v>
      </c>
      <c r="AT29">
        <v>1</v>
      </c>
      <c r="AU29">
        <v>1</v>
      </c>
      <c r="AV29">
        <v>2</v>
      </c>
      <c r="AW29" t="s">
        <v>90</v>
      </c>
      <c r="AX29">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30" spans="1:50" hidden="1">
      <c r="A30">
        <v>29</v>
      </c>
      <c r="B30" t="s">
        <v>79</v>
      </c>
      <c r="C30" s="10">
        <v>39110708</v>
      </c>
      <c r="D30" t="s">
        <v>91</v>
      </c>
      <c r="E30">
        <v>2</v>
      </c>
      <c r="F30">
        <v>0</v>
      </c>
      <c r="G30">
        <v>1</v>
      </c>
      <c r="H30">
        <v>1</v>
      </c>
      <c r="I30">
        <v>1</v>
      </c>
      <c r="J30">
        <v>1</v>
      </c>
      <c r="K30">
        <v>1</v>
      </c>
      <c r="L30">
        <v>1</v>
      </c>
      <c r="M30">
        <v>1</v>
      </c>
      <c r="N30">
        <v>1</v>
      </c>
      <c r="O30">
        <v>1</v>
      </c>
      <c r="P30">
        <v>1</v>
      </c>
      <c r="Q30">
        <v>1</v>
      </c>
      <c r="R30">
        <v>1</v>
      </c>
      <c r="S30">
        <v>0</v>
      </c>
      <c r="T30" t="s">
        <v>51</v>
      </c>
      <c r="U30" t="s">
        <v>51</v>
      </c>
      <c r="V30">
        <v>1</v>
      </c>
      <c r="W30">
        <v>1</v>
      </c>
      <c r="X30">
        <v>1</v>
      </c>
      <c r="Y30">
        <v>1</v>
      </c>
      <c r="Z30">
        <v>2</v>
      </c>
      <c r="AA30">
        <v>1</v>
      </c>
      <c r="AB30">
        <v>0</v>
      </c>
      <c r="AC30" t="s">
        <v>51</v>
      </c>
      <c r="AD30" t="s">
        <v>51</v>
      </c>
      <c r="AE30">
        <v>1</v>
      </c>
      <c r="AF30">
        <v>2</v>
      </c>
      <c r="AG30">
        <v>1</v>
      </c>
      <c r="AH30">
        <v>1</v>
      </c>
      <c r="AI30">
        <v>1</v>
      </c>
      <c r="AJ30">
        <v>1</v>
      </c>
      <c r="AK30">
        <v>1</v>
      </c>
      <c r="AL30">
        <v>1</v>
      </c>
      <c r="AM30">
        <v>1</v>
      </c>
      <c r="AN30">
        <v>1</v>
      </c>
      <c r="AO30">
        <v>2</v>
      </c>
      <c r="AP30">
        <v>1</v>
      </c>
      <c r="AQ30">
        <v>1</v>
      </c>
      <c r="AR30">
        <v>1</v>
      </c>
      <c r="AS30">
        <v>1</v>
      </c>
      <c r="AT30">
        <v>1</v>
      </c>
      <c r="AU30">
        <v>2</v>
      </c>
      <c r="AV30">
        <v>2</v>
      </c>
      <c r="AW30" t="s">
        <v>92</v>
      </c>
      <c r="AX30">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31" spans="1:50" hidden="1">
      <c r="A31">
        <v>30</v>
      </c>
      <c r="B31" t="s">
        <v>79</v>
      </c>
      <c r="C31" s="10">
        <v>38285455</v>
      </c>
      <c r="D31" t="s">
        <v>93</v>
      </c>
      <c r="E31">
        <v>1</v>
      </c>
      <c r="F31">
        <v>1</v>
      </c>
      <c r="G31">
        <v>1</v>
      </c>
      <c r="H31">
        <v>1</v>
      </c>
      <c r="I31">
        <v>1</v>
      </c>
      <c r="J31">
        <v>1</v>
      </c>
      <c r="K31">
        <v>1</v>
      </c>
      <c r="L31">
        <v>1</v>
      </c>
      <c r="M31">
        <v>1</v>
      </c>
      <c r="N31">
        <v>1</v>
      </c>
      <c r="O31">
        <v>1</v>
      </c>
      <c r="P31">
        <v>1</v>
      </c>
      <c r="Q31">
        <v>1</v>
      </c>
      <c r="R31">
        <v>1</v>
      </c>
      <c r="S31">
        <v>0</v>
      </c>
      <c r="T31" t="s">
        <v>51</v>
      </c>
      <c r="U31" t="s">
        <v>51</v>
      </c>
      <c r="V31">
        <v>1</v>
      </c>
      <c r="W31">
        <v>1</v>
      </c>
      <c r="X31">
        <v>1</v>
      </c>
      <c r="Y31">
        <v>0</v>
      </c>
      <c r="Z31">
        <v>1</v>
      </c>
      <c r="AA31" t="s">
        <v>51</v>
      </c>
      <c r="AB31">
        <v>0</v>
      </c>
      <c r="AC31" t="s">
        <v>51</v>
      </c>
      <c r="AD31" t="s">
        <v>51</v>
      </c>
      <c r="AE31">
        <v>1</v>
      </c>
      <c r="AF31">
        <v>2</v>
      </c>
      <c r="AG31">
        <v>2</v>
      </c>
      <c r="AH31">
        <v>1</v>
      </c>
      <c r="AI31">
        <v>1</v>
      </c>
      <c r="AJ31">
        <v>1</v>
      </c>
      <c r="AK31">
        <v>1</v>
      </c>
      <c r="AL31">
        <v>1</v>
      </c>
      <c r="AM31">
        <v>1</v>
      </c>
      <c r="AN31">
        <v>1</v>
      </c>
      <c r="AO31">
        <v>1</v>
      </c>
      <c r="AP31">
        <v>1</v>
      </c>
      <c r="AQ31">
        <v>1</v>
      </c>
      <c r="AR31">
        <v>1</v>
      </c>
      <c r="AS31">
        <v>1</v>
      </c>
      <c r="AT31">
        <v>1</v>
      </c>
      <c r="AU31">
        <v>1</v>
      </c>
      <c r="AV31">
        <v>1</v>
      </c>
      <c r="AW31" s="12" t="s">
        <v>94</v>
      </c>
      <c r="AX31" s="12">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32" spans="1:50" s="16" customFormat="1">
      <c r="A32" s="16">
        <v>31</v>
      </c>
      <c r="B32" s="16" t="s">
        <v>95</v>
      </c>
      <c r="C32" s="17">
        <v>38138814</v>
      </c>
      <c r="D32" s="16" t="s">
        <v>96</v>
      </c>
      <c r="E32" s="16">
        <v>1</v>
      </c>
      <c r="F32" s="16">
        <v>1</v>
      </c>
      <c r="G32" s="16">
        <v>1</v>
      </c>
      <c r="H32" s="16">
        <v>1</v>
      </c>
      <c r="I32" s="16">
        <v>1</v>
      </c>
      <c r="J32" s="16">
        <v>1</v>
      </c>
      <c r="K32" s="16">
        <v>1</v>
      </c>
      <c r="L32" s="16">
        <v>1</v>
      </c>
      <c r="M32" s="16">
        <v>1</v>
      </c>
      <c r="N32" s="16">
        <v>1</v>
      </c>
      <c r="O32" s="16">
        <v>1</v>
      </c>
      <c r="P32" s="16">
        <v>0</v>
      </c>
      <c r="Q32" s="16" t="s">
        <v>51</v>
      </c>
      <c r="R32" s="16" t="s">
        <v>51</v>
      </c>
      <c r="S32" s="16">
        <v>0</v>
      </c>
      <c r="T32" s="16" t="s">
        <v>51</v>
      </c>
      <c r="U32" s="16" t="s">
        <v>51</v>
      </c>
      <c r="V32" s="16">
        <v>1</v>
      </c>
      <c r="W32" s="16">
        <v>2</v>
      </c>
      <c r="X32" s="16">
        <v>1</v>
      </c>
      <c r="Y32" s="16">
        <v>1</v>
      </c>
      <c r="Z32" s="16">
        <v>2</v>
      </c>
      <c r="AA32" s="16">
        <v>1</v>
      </c>
      <c r="AB32" s="16">
        <v>0</v>
      </c>
      <c r="AC32" s="16" t="s">
        <v>51</v>
      </c>
      <c r="AD32" s="16" t="s">
        <v>51</v>
      </c>
      <c r="AE32" s="16">
        <v>0</v>
      </c>
      <c r="AF32" s="16" t="s">
        <v>51</v>
      </c>
      <c r="AG32" s="16" t="s">
        <v>51</v>
      </c>
      <c r="AH32" s="16">
        <v>1</v>
      </c>
      <c r="AI32" s="16">
        <v>1</v>
      </c>
      <c r="AJ32" s="16">
        <v>1</v>
      </c>
      <c r="AK32" s="16">
        <v>1</v>
      </c>
      <c r="AL32" s="16">
        <v>1</v>
      </c>
      <c r="AM32" s="16">
        <v>1</v>
      </c>
      <c r="AN32" s="16">
        <v>1</v>
      </c>
      <c r="AO32" s="16">
        <v>1</v>
      </c>
      <c r="AP32" s="16">
        <v>1</v>
      </c>
      <c r="AQ32" s="16">
        <v>1</v>
      </c>
      <c r="AR32" s="16">
        <v>1</v>
      </c>
      <c r="AS32" s="16">
        <v>3</v>
      </c>
      <c r="AT32" s="16">
        <v>1</v>
      </c>
      <c r="AU32" s="16">
        <v>2</v>
      </c>
      <c r="AV32" s="16">
        <v>1</v>
      </c>
      <c r="AW32" s="16" t="s">
        <v>97</v>
      </c>
      <c r="AX32" s="1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1</v>
      </c>
    </row>
    <row r="33" spans="1:50" hidden="1">
      <c r="A33">
        <v>32</v>
      </c>
      <c r="B33" t="s">
        <v>95</v>
      </c>
      <c r="C33" s="10">
        <v>39101255</v>
      </c>
      <c r="D33" t="s">
        <v>98</v>
      </c>
      <c r="E33">
        <v>1</v>
      </c>
      <c r="F33">
        <v>1</v>
      </c>
      <c r="G33">
        <v>1</v>
      </c>
      <c r="H33">
        <v>1</v>
      </c>
      <c r="I33">
        <v>1</v>
      </c>
      <c r="J33">
        <v>1</v>
      </c>
      <c r="K33">
        <v>1</v>
      </c>
      <c r="L33">
        <v>1</v>
      </c>
      <c r="M33">
        <v>1</v>
      </c>
      <c r="N33">
        <v>1</v>
      </c>
      <c r="O33">
        <v>1</v>
      </c>
      <c r="P33">
        <v>1</v>
      </c>
      <c r="Q33">
        <v>1</v>
      </c>
      <c r="R33">
        <v>1</v>
      </c>
      <c r="S33">
        <v>0</v>
      </c>
      <c r="T33" t="s">
        <v>51</v>
      </c>
      <c r="U33" t="s">
        <v>51</v>
      </c>
      <c r="V33">
        <v>1</v>
      </c>
      <c r="W33">
        <v>2</v>
      </c>
      <c r="X33">
        <v>1</v>
      </c>
      <c r="Y33">
        <v>1</v>
      </c>
      <c r="Z33">
        <v>2</v>
      </c>
      <c r="AA33">
        <v>1</v>
      </c>
      <c r="AB33">
        <v>0</v>
      </c>
      <c r="AC33" t="s">
        <v>51</v>
      </c>
      <c r="AD33" t="s">
        <v>51</v>
      </c>
      <c r="AE33">
        <v>1</v>
      </c>
      <c r="AF33">
        <v>2</v>
      </c>
      <c r="AG33">
        <v>1</v>
      </c>
      <c r="AH33">
        <v>1</v>
      </c>
      <c r="AI33">
        <v>1</v>
      </c>
      <c r="AJ33">
        <v>1</v>
      </c>
      <c r="AK33">
        <v>1</v>
      </c>
      <c r="AL33">
        <v>1</v>
      </c>
      <c r="AM33">
        <v>1</v>
      </c>
      <c r="AN33">
        <v>1</v>
      </c>
      <c r="AO33">
        <v>2</v>
      </c>
      <c r="AP33">
        <v>1</v>
      </c>
      <c r="AQ33">
        <v>1</v>
      </c>
      <c r="AR33">
        <v>1</v>
      </c>
      <c r="AS33">
        <v>1</v>
      </c>
      <c r="AT33">
        <v>1</v>
      </c>
      <c r="AU33">
        <v>1</v>
      </c>
      <c r="AV33">
        <v>1</v>
      </c>
      <c r="AX33">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34" spans="1:50" hidden="1">
      <c r="A34">
        <v>33</v>
      </c>
      <c r="B34" t="s">
        <v>95</v>
      </c>
      <c r="C34" s="10">
        <v>39098509</v>
      </c>
      <c r="D34" t="s">
        <v>86</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2</v>
      </c>
      <c r="AA34">
        <v>1</v>
      </c>
      <c r="AB34">
        <v>0</v>
      </c>
      <c r="AC34" t="s">
        <v>51</v>
      </c>
      <c r="AD34" t="s">
        <v>51</v>
      </c>
      <c r="AE34">
        <v>1</v>
      </c>
      <c r="AF34">
        <v>1</v>
      </c>
      <c r="AG34">
        <v>1</v>
      </c>
      <c r="AH34">
        <v>1</v>
      </c>
      <c r="AI34">
        <v>1</v>
      </c>
      <c r="AJ34">
        <v>1</v>
      </c>
      <c r="AK34">
        <v>1</v>
      </c>
      <c r="AL34">
        <v>1</v>
      </c>
      <c r="AM34">
        <v>1</v>
      </c>
      <c r="AN34">
        <v>1</v>
      </c>
      <c r="AO34">
        <v>2</v>
      </c>
      <c r="AP34">
        <v>1</v>
      </c>
      <c r="AQ34">
        <v>1</v>
      </c>
      <c r="AR34">
        <v>1</v>
      </c>
      <c r="AS34">
        <v>1</v>
      </c>
      <c r="AT34">
        <v>1</v>
      </c>
      <c r="AU34">
        <v>1</v>
      </c>
      <c r="AV34">
        <v>1</v>
      </c>
      <c r="AX34">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35" spans="1:50" hidden="1">
      <c r="A35">
        <v>34</v>
      </c>
      <c r="B35" t="s">
        <v>95</v>
      </c>
      <c r="C35" s="10">
        <v>39105000</v>
      </c>
      <c r="D35" t="s">
        <v>99</v>
      </c>
      <c r="E35">
        <v>1</v>
      </c>
      <c r="F35">
        <v>0</v>
      </c>
      <c r="G35">
        <v>1</v>
      </c>
      <c r="H35">
        <v>1</v>
      </c>
      <c r="I35">
        <v>1</v>
      </c>
      <c r="J35">
        <v>1</v>
      </c>
      <c r="K35">
        <v>1</v>
      </c>
      <c r="L35">
        <v>1</v>
      </c>
      <c r="M35">
        <v>1</v>
      </c>
      <c r="N35">
        <v>1</v>
      </c>
      <c r="O35">
        <v>1</v>
      </c>
      <c r="P35">
        <v>0</v>
      </c>
      <c r="Q35" t="s">
        <v>51</v>
      </c>
      <c r="R35" t="s">
        <v>51</v>
      </c>
      <c r="S35">
        <v>1</v>
      </c>
      <c r="T35">
        <v>2</v>
      </c>
      <c r="U35">
        <v>1</v>
      </c>
      <c r="V35">
        <v>1</v>
      </c>
      <c r="W35">
        <v>1</v>
      </c>
      <c r="X35">
        <v>1</v>
      </c>
      <c r="Y35">
        <v>1</v>
      </c>
      <c r="Z35">
        <v>2</v>
      </c>
      <c r="AA35">
        <v>1</v>
      </c>
      <c r="AB35">
        <v>0</v>
      </c>
      <c r="AC35" t="s">
        <v>51</v>
      </c>
      <c r="AD35" t="s">
        <v>51</v>
      </c>
      <c r="AE35">
        <v>1</v>
      </c>
      <c r="AF35">
        <v>1</v>
      </c>
      <c r="AG35">
        <v>1</v>
      </c>
      <c r="AH35">
        <v>1</v>
      </c>
      <c r="AI35">
        <v>1</v>
      </c>
      <c r="AJ35">
        <v>1</v>
      </c>
      <c r="AK35">
        <v>1</v>
      </c>
      <c r="AL35">
        <v>1</v>
      </c>
      <c r="AM35">
        <v>1</v>
      </c>
      <c r="AN35">
        <v>1</v>
      </c>
      <c r="AO35">
        <v>2</v>
      </c>
      <c r="AP35">
        <v>2</v>
      </c>
      <c r="AQ35">
        <v>1</v>
      </c>
      <c r="AR35">
        <v>1</v>
      </c>
      <c r="AS35">
        <v>1</v>
      </c>
      <c r="AT35">
        <v>1</v>
      </c>
      <c r="AU35">
        <v>1</v>
      </c>
      <c r="AV35">
        <v>2</v>
      </c>
      <c r="AX35">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36" spans="1:50" hidden="1">
      <c r="A36">
        <v>35</v>
      </c>
      <c r="B36" t="s">
        <v>95</v>
      </c>
      <c r="C36" s="10">
        <v>39116342</v>
      </c>
      <c r="D36" t="s">
        <v>81</v>
      </c>
      <c r="E36">
        <v>2</v>
      </c>
      <c r="F36">
        <v>0</v>
      </c>
      <c r="G36">
        <v>1</v>
      </c>
      <c r="H36">
        <v>1</v>
      </c>
      <c r="I36">
        <v>1</v>
      </c>
      <c r="J36">
        <v>1</v>
      </c>
      <c r="K36">
        <v>1</v>
      </c>
      <c r="L36">
        <v>1</v>
      </c>
      <c r="M36">
        <v>1</v>
      </c>
      <c r="N36">
        <v>1</v>
      </c>
      <c r="O36">
        <v>1</v>
      </c>
      <c r="P36">
        <v>1</v>
      </c>
      <c r="Q36">
        <v>1</v>
      </c>
      <c r="R36">
        <v>1</v>
      </c>
      <c r="S36">
        <v>0</v>
      </c>
      <c r="T36" t="s">
        <v>51</v>
      </c>
      <c r="U36" t="s">
        <v>51</v>
      </c>
      <c r="V36">
        <v>1</v>
      </c>
      <c r="W36">
        <v>1</v>
      </c>
      <c r="X36">
        <v>1</v>
      </c>
      <c r="Y36">
        <v>1</v>
      </c>
      <c r="Z36">
        <v>2</v>
      </c>
      <c r="AA36">
        <v>1</v>
      </c>
      <c r="AB36">
        <v>0</v>
      </c>
      <c r="AC36" t="s">
        <v>51</v>
      </c>
      <c r="AD36" t="s">
        <v>51</v>
      </c>
      <c r="AE36">
        <v>1</v>
      </c>
      <c r="AF36">
        <v>1</v>
      </c>
      <c r="AG36">
        <v>1</v>
      </c>
      <c r="AH36">
        <v>1</v>
      </c>
      <c r="AI36">
        <v>1</v>
      </c>
      <c r="AJ36">
        <v>1</v>
      </c>
      <c r="AK36">
        <v>1</v>
      </c>
      <c r="AL36">
        <v>1</v>
      </c>
      <c r="AM36">
        <v>1</v>
      </c>
      <c r="AN36">
        <v>0</v>
      </c>
      <c r="AO36" t="s">
        <v>51</v>
      </c>
      <c r="AP36" t="s">
        <v>51</v>
      </c>
      <c r="AQ36">
        <v>1</v>
      </c>
      <c r="AR36">
        <v>1</v>
      </c>
      <c r="AS36">
        <v>1</v>
      </c>
      <c r="AT36">
        <v>1</v>
      </c>
      <c r="AU36">
        <v>2</v>
      </c>
      <c r="AV36">
        <v>2</v>
      </c>
      <c r="AW36" t="s">
        <v>100</v>
      </c>
      <c r="AX3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37" spans="1:50" hidden="1">
      <c r="A37">
        <v>36</v>
      </c>
      <c r="B37" t="s">
        <v>95</v>
      </c>
      <c r="C37" s="10">
        <v>39103203</v>
      </c>
      <c r="D37" t="s">
        <v>101</v>
      </c>
      <c r="E37">
        <v>1</v>
      </c>
      <c r="F37">
        <v>0</v>
      </c>
      <c r="G37">
        <v>1</v>
      </c>
      <c r="H37">
        <v>1</v>
      </c>
      <c r="I37">
        <v>1</v>
      </c>
      <c r="J37">
        <v>1</v>
      </c>
      <c r="K37">
        <v>1</v>
      </c>
      <c r="L37">
        <v>1</v>
      </c>
      <c r="M37">
        <v>1</v>
      </c>
      <c r="N37">
        <v>1</v>
      </c>
      <c r="O37">
        <v>1</v>
      </c>
      <c r="P37">
        <v>1</v>
      </c>
      <c r="Q37">
        <v>1</v>
      </c>
      <c r="R37">
        <v>1</v>
      </c>
      <c r="S37">
        <v>1</v>
      </c>
      <c r="T37">
        <v>1</v>
      </c>
      <c r="U37">
        <v>1</v>
      </c>
      <c r="V37">
        <v>1</v>
      </c>
      <c r="W37">
        <v>1</v>
      </c>
      <c r="X37">
        <v>1</v>
      </c>
      <c r="Y37">
        <v>1</v>
      </c>
      <c r="Z37">
        <v>2</v>
      </c>
      <c r="AA37">
        <v>1</v>
      </c>
      <c r="AB37">
        <v>0</v>
      </c>
      <c r="AC37" t="s">
        <v>51</v>
      </c>
      <c r="AD37" t="s">
        <v>51</v>
      </c>
      <c r="AE37">
        <v>1</v>
      </c>
      <c r="AF37">
        <v>1</v>
      </c>
      <c r="AG37">
        <v>1</v>
      </c>
      <c r="AH37">
        <v>1</v>
      </c>
      <c r="AI37">
        <v>1</v>
      </c>
      <c r="AJ37">
        <v>1</v>
      </c>
      <c r="AK37">
        <v>1</v>
      </c>
      <c r="AL37">
        <v>1</v>
      </c>
      <c r="AM37">
        <v>1</v>
      </c>
      <c r="AN37">
        <v>1</v>
      </c>
      <c r="AO37">
        <v>2</v>
      </c>
      <c r="AP37">
        <v>2</v>
      </c>
      <c r="AQ37">
        <v>1</v>
      </c>
      <c r="AR37">
        <v>1</v>
      </c>
      <c r="AS37">
        <v>1</v>
      </c>
      <c r="AT37">
        <v>1</v>
      </c>
      <c r="AU37">
        <v>1</v>
      </c>
      <c r="AV37">
        <v>1</v>
      </c>
      <c r="AX37">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38" spans="1:50" hidden="1">
      <c r="A38">
        <v>37</v>
      </c>
      <c r="B38" t="s">
        <v>95</v>
      </c>
      <c r="C38" s="10">
        <v>39104106</v>
      </c>
      <c r="D38" t="s">
        <v>102</v>
      </c>
      <c r="E38">
        <v>2</v>
      </c>
      <c r="F38">
        <v>0</v>
      </c>
      <c r="G38">
        <v>1</v>
      </c>
      <c r="H38">
        <v>1</v>
      </c>
      <c r="I38">
        <v>1</v>
      </c>
      <c r="J38">
        <v>1</v>
      </c>
      <c r="K38">
        <v>1</v>
      </c>
      <c r="L38">
        <v>1</v>
      </c>
      <c r="M38">
        <v>1</v>
      </c>
      <c r="N38">
        <v>1</v>
      </c>
      <c r="O38">
        <v>1</v>
      </c>
      <c r="P38">
        <v>0</v>
      </c>
      <c r="Q38" t="s">
        <v>51</v>
      </c>
      <c r="R38" t="s">
        <v>51</v>
      </c>
      <c r="S38">
        <v>1</v>
      </c>
      <c r="T38">
        <v>1</v>
      </c>
      <c r="U38">
        <v>1</v>
      </c>
      <c r="V38">
        <v>1</v>
      </c>
      <c r="W38">
        <v>1</v>
      </c>
      <c r="X38">
        <v>1</v>
      </c>
      <c r="Y38">
        <v>1</v>
      </c>
      <c r="Z38">
        <v>2</v>
      </c>
      <c r="AA38">
        <v>1</v>
      </c>
      <c r="AB38">
        <v>0</v>
      </c>
      <c r="AC38" t="s">
        <v>51</v>
      </c>
      <c r="AD38" t="s">
        <v>51</v>
      </c>
      <c r="AE38">
        <v>1</v>
      </c>
      <c r="AF38">
        <v>2</v>
      </c>
      <c r="AG38">
        <v>1</v>
      </c>
      <c r="AH38">
        <v>1</v>
      </c>
      <c r="AI38">
        <v>1</v>
      </c>
      <c r="AJ38">
        <v>1</v>
      </c>
      <c r="AK38">
        <v>1</v>
      </c>
      <c r="AL38">
        <v>1</v>
      </c>
      <c r="AM38">
        <v>1</v>
      </c>
      <c r="AN38">
        <v>0</v>
      </c>
      <c r="AO38" t="s">
        <v>51</v>
      </c>
      <c r="AP38" t="s">
        <v>51</v>
      </c>
      <c r="AQ38">
        <v>1</v>
      </c>
      <c r="AR38">
        <v>1</v>
      </c>
      <c r="AS38">
        <v>1</v>
      </c>
      <c r="AT38">
        <v>1</v>
      </c>
      <c r="AU38">
        <v>1</v>
      </c>
      <c r="AV38">
        <v>1</v>
      </c>
      <c r="AX38">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39" spans="1:50" hidden="1">
      <c r="A39">
        <v>38</v>
      </c>
      <c r="B39" t="s">
        <v>95</v>
      </c>
      <c r="C39" s="10">
        <v>39104379</v>
      </c>
      <c r="D39" t="s">
        <v>103</v>
      </c>
      <c r="E39">
        <v>1</v>
      </c>
      <c r="F39">
        <v>0</v>
      </c>
      <c r="G39">
        <v>1</v>
      </c>
      <c r="H39">
        <v>1</v>
      </c>
      <c r="I39">
        <v>1</v>
      </c>
      <c r="J39">
        <v>1</v>
      </c>
      <c r="K39">
        <v>1</v>
      </c>
      <c r="L39">
        <v>1</v>
      </c>
      <c r="M39">
        <v>1</v>
      </c>
      <c r="N39">
        <v>1</v>
      </c>
      <c r="O39">
        <v>1</v>
      </c>
      <c r="P39">
        <v>1</v>
      </c>
      <c r="Q39">
        <v>1</v>
      </c>
      <c r="R39">
        <v>1</v>
      </c>
      <c r="S39">
        <v>1</v>
      </c>
      <c r="T39">
        <v>1</v>
      </c>
      <c r="U39">
        <v>1</v>
      </c>
      <c r="V39">
        <v>1</v>
      </c>
      <c r="W39">
        <v>1</v>
      </c>
      <c r="X39">
        <v>1</v>
      </c>
      <c r="Y39">
        <v>1</v>
      </c>
      <c r="Z39">
        <v>2</v>
      </c>
      <c r="AA39">
        <v>1</v>
      </c>
      <c r="AB39">
        <v>0</v>
      </c>
      <c r="AC39" t="s">
        <v>51</v>
      </c>
      <c r="AD39" t="s">
        <v>51</v>
      </c>
      <c r="AE39">
        <v>1</v>
      </c>
      <c r="AF39">
        <v>2</v>
      </c>
      <c r="AG39">
        <v>1</v>
      </c>
      <c r="AH39">
        <v>1</v>
      </c>
      <c r="AI39">
        <v>2</v>
      </c>
      <c r="AJ39">
        <v>1</v>
      </c>
      <c r="AK39">
        <v>1</v>
      </c>
      <c r="AL39">
        <v>1</v>
      </c>
      <c r="AM39">
        <v>1</v>
      </c>
      <c r="AN39">
        <v>1</v>
      </c>
      <c r="AO39">
        <v>2</v>
      </c>
      <c r="AP39">
        <v>1</v>
      </c>
      <c r="AQ39">
        <v>1</v>
      </c>
      <c r="AR39">
        <v>1</v>
      </c>
      <c r="AS39">
        <v>1</v>
      </c>
      <c r="AT39">
        <v>1</v>
      </c>
      <c r="AU39">
        <v>1</v>
      </c>
      <c r="AV39">
        <v>2</v>
      </c>
      <c r="AW39" t="s">
        <v>104</v>
      </c>
      <c r="AX39">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40" spans="1:50" hidden="1">
      <c r="A40">
        <v>39</v>
      </c>
      <c r="B40" t="s">
        <v>95</v>
      </c>
      <c r="C40" s="10">
        <v>39105493</v>
      </c>
      <c r="D40" t="s">
        <v>105</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2</v>
      </c>
      <c r="AA40">
        <v>1</v>
      </c>
      <c r="AB40">
        <v>0</v>
      </c>
      <c r="AC40" t="s">
        <v>51</v>
      </c>
      <c r="AD40" t="s">
        <v>51</v>
      </c>
      <c r="AE40">
        <v>1</v>
      </c>
      <c r="AF40">
        <v>1</v>
      </c>
      <c r="AG40">
        <v>1</v>
      </c>
      <c r="AH40">
        <v>1</v>
      </c>
      <c r="AI40">
        <v>1</v>
      </c>
      <c r="AJ40">
        <v>2</v>
      </c>
      <c r="AK40">
        <v>1</v>
      </c>
      <c r="AL40">
        <v>1</v>
      </c>
      <c r="AM40">
        <v>1</v>
      </c>
      <c r="AN40">
        <v>1</v>
      </c>
      <c r="AO40">
        <v>2</v>
      </c>
      <c r="AP40">
        <v>1</v>
      </c>
      <c r="AQ40">
        <v>1</v>
      </c>
      <c r="AR40">
        <v>1</v>
      </c>
      <c r="AS40">
        <v>1</v>
      </c>
      <c r="AT40">
        <v>0</v>
      </c>
      <c r="AU40" t="s">
        <v>51</v>
      </c>
      <c r="AV40" t="s">
        <v>51</v>
      </c>
      <c r="AW40" t="s">
        <v>106</v>
      </c>
      <c r="AX40">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41" spans="1:50" hidden="1">
      <c r="A41">
        <v>40</v>
      </c>
      <c r="B41" t="s">
        <v>95</v>
      </c>
      <c r="C41" s="10">
        <v>39106294</v>
      </c>
      <c r="D41" t="s">
        <v>107</v>
      </c>
      <c r="E41">
        <v>1</v>
      </c>
      <c r="F41">
        <v>1</v>
      </c>
      <c r="G41">
        <v>1</v>
      </c>
      <c r="H41">
        <v>1</v>
      </c>
      <c r="I41">
        <v>1</v>
      </c>
      <c r="J41">
        <v>1</v>
      </c>
      <c r="K41">
        <v>1</v>
      </c>
      <c r="L41">
        <v>1</v>
      </c>
      <c r="M41">
        <v>1</v>
      </c>
      <c r="N41">
        <v>1</v>
      </c>
      <c r="O41">
        <v>1</v>
      </c>
      <c r="P41">
        <v>0</v>
      </c>
      <c r="Q41" t="s">
        <v>51</v>
      </c>
      <c r="R41" t="s">
        <v>51</v>
      </c>
      <c r="S41">
        <v>0</v>
      </c>
      <c r="T41" t="s">
        <v>51</v>
      </c>
      <c r="U41" t="s">
        <v>51</v>
      </c>
      <c r="V41">
        <v>0</v>
      </c>
      <c r="W41" t="s">
        <v>51</v>
      </c>
      <c r="X41" t="s">
        <v>51</v>
      </c>
      <c r="Y41">
        <v>0</v>
      </c>
      <c r="Z41" t="s">
        <v>51</v>
      </c>
      <c r="AA41" t="s">
        <v>51</v>
      </c>
      <c r="AB41">
        <v>1</v>
      </c>
      <c r="AC41">
        <v>1</v>
      </c>
      <c r="AD41">
        <v>1</v>
      </c>
      <c r="AE41">
        <v>0</v>
      </c>
      <c r="AF41" t="s">
        <v>51</v>
      </c>
      <c r="AG41" t="s">
        <v>51</v>
      </c>
      <c r="AH41">
        <v>1</v>
      </c>
      <c r="AI41">
        <v>1</v>
      </c>
      <c r="AJ41">
        <v>1</v>
      </c>
      <c r="AK41">
        <v>1</v>
      </c>
      <c r="AL41">
        <v>1</v>
      </c>
      <c r="AM41">
        <v>1</v>
      </c>
      <c r="AN41">
        <v>1</v>
      </c>
      <c r="AO41">
        <v>2</v>
      </c>
      <c r="AP41">
        <v>1</v>
      </c>
      <c r="AQ41">
        <v>1</v>
      </c>
      <c r="AR41">
        <v>1</v>
      </c>
      <c r="AS41">
        <v>1</v>
      </c>
      <c r="AT41">
        <v>1</v>
      </c>
      <c r="AU41">
        <v>1</v>
      </c>
      <c r="AV41">
        <v>1</v>
      </c>
      <c r="AX41">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42" spans="1:50" hidden="1">
      <c r="A42">
        <v>41</v>
      </c>
      <c r="B42" t="s">
        <v>108</v>
      </c>
      <c r="C42" s="10">
        <v>39102559</v>
      </c>
      <c r="D42" s="10" t="s">
        <v>109</v>
      </c>
      <c r="E42">
        <v>1</v>
      </c>
      <c r="F42">
        <v>0</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2</v>
      </c>
      <c r="AP42">
        <v>1</v>
      </c>
      <c r="AQ42">
        <v>1</v>
      </c>
      <c r="AR42">
        <v>1</v>
      </c>
      <c r="AS42">
        <v>1</v>
      </c>
      <c r="AT42">
        <v>1</v>
      </c>
      <c r="AU42">
        <v>1</v>
      </c>
      <c r="AV42">
        <v>1</v>
      </c>
      <c r="AX42">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43" spans="1:50" hidden="1">
      <c r="A43">
        <v>42</v>
      </c>
      <c r="B43" s="8" t="s">
        <v>108</v>
      </c>
      <c r="C43" s="10">
        <v>39103275</v>
      </c>
      <c r="D43" t="s">
        <v>110</v>
      </c>
      <c r="E43">
        <v>1</v>
      </c>
      <c r="F43">
        <v>0</v>
      </c>
      <c r="G43">
        <v>1</v>
      </c>
      <c r="H43">
        <v>1</v>
      </c>
      <c r="I43">
        <v>1</v>
      </c>
      <c r="J43">
        <v>1</v>
      </c>
      <c r="K43">
        <v>1</v>
      </c>
      <c r="L43">
        <v>1</v>
      </c>
      <c r="M43">
        <v>1</v>
      </c>
      <c r="N43">
        <v>1</v>
      </c>
      <c r="O43">
        <v>1</v>
      </c>
      <c r="P43">
        <v>0</v>
      </c>
      <c r="Q43" t="s">
        <v>51</v>
      </c>
      <c r="R43" t="s">
        <v>51</v>
      </c>
      <c r="S43">
        <v>0</v>
      </c>
      <c r="T43" t="s">
        <v>51</v>
      </c>
      <c r="U43" t="s">
        <v>51</v>
      </c>
      <c r="V43">
        <v>1</v>
      </c>
      <c r="W43">
        <v>1</v>
      </c>
      <c r="X43">
        <v>1</v>
      </c>
      <c r="Y43">
        <v>1</v>
      </c>
      <c r="Z43">
        <v>2</v>
      </c>
      <c r="AA43">
        <v>1</v>
      </c>
      <c r="AB43">
        <v>1</v>
      </c>
      <c r="AC43">
        <v>1</v>
      </c>
      <c r="AD43">
        <v>2</v>
      </c>
      <c r="AE43">
        <v>0</v>
      </c>
      <c r="AF43" t="s">
        <v>51</v>
      </c>
      <c r="AG43" t="s">
        <v>51</v>
      </c>
      <c r="AH43">
        <v>1</v>
      </c>
      <c r="AI43">
        <v>1</v>
      </c>
      <c r="AJ43">
        <v>1</v>
      </c>
      <c r="AK43">
        <v>1</v>
      </c>
      <c r="AL43">
        <v>1</v>
      </c>
      <c r="AM43">
        <v>1</v>
      </c>
      <c r="AN43">
        <v>0</v>
      </c>
      <c r="AO43" t="s">
        <v>51</v>
      </c>
      <c r="AP43" t="s">
        <v>51</v>
      </c>
      <c r="AQ43">
        <v>1</v>
      </c>
      <c r="AR43">
        <v>1</v>
      </c>
      <c r="AS43">
        <v>1</v>
      </c>
      <c r="AT43">
        <v>1</v>
      </c>
      <c r="AU43">
        <v>1</v>
      </c>
      <c r="AV43">
        <v>1</v>
      </c>
      <c r="AW43" t="s">
        <v>111</v>
      </c>
      <c r="AX43">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44" spans="1:50" hidden="1">
      <c r="A44">
        <v>43</v>
      </c>
      <c r="B44" t="s">
        <v>108</v>
      </c>
      <c r="C44" s="10">
        <v>35121902</v>
      </c>
      <c r="D44" t="s">
        <v>112</v>
      </c>
      <c r="E44">
        <v>2</v>
      </c>
      <c r="F44">
        <v>0</v>
      </c>
      <c r="G44">
        <v>1</v>
      </c>
      <c r="H44">
        <v>1</v>
      </c>
      <c r="I44">
        <v>1</v>
      </c>
      <c r="J44">
        <v>1</v>
      </c>
      <c r="K44">
        <v>1</v>
      </c>
      <c r="L44">
        <v>1</v>
      </c>
      <c r="M44">
        <v>1</v>
      </c>
      <c r="N44">
        <v>1</v>
      </c>
      <c r="O44">
        <v>1</v>
      </c>
      <c r="P44">
        <v>1</v>
      </c>
      <c r="Q44">
        <v>1</v>
      </c>
      <c r="R44">
        <v>1</v>
      </c>
      <c r="S44">
        <v>0</v>
      </c>
      <c r="T44" t="s">
        <v>51</v>
      </c>
      <c r="U44" t="s">
        <v>51</v>
      </c>
      <c r="V44">
        <v>1</v>
      </c>
      <c r="W44">
        <v>1</v>
      </c>
      <c r="X44">
        <v>1</v>
      </c>
      <c r="Y44">
        <v>0</v>
      </c>
      <c r="Z44" t="s">
        <v>51</v>
      </c>
      <c r="AA44" t="s">
        <v>51</v>
      </c>
      <c r="AB44">
        <v>1</v>
      </c>
      <c r="AC44">
        <v>1</v>
      </c>
      <c r="AD44">
        <v>1</v>
      </c>
      <c r="AE44">
        <v>0</v>
      </c>
      <c r="AF44" t="s">
        <v>51</v>
      </c>
      <c r="AG44" t="s">
        <v>51</v>
      </c>
      <c r="AH44">
        <v>1</v>
      </c>
      <c r="AI44">
        <v>1</v>
      </c>
      <c r="AJ44">
        <v>1</v>
      </c>
      <c r="AK44">
        <v>1</v>
      </c>
      <c r="AL44">
        <v>1</v>
      </c>
      <c r="AM44">
        <v>1</v>
      </c>
      <c r="AN44">
        <v>0</v>
      </c>
      <c r="AO44" t="s">
        <v>51</v>
      </c>
      <c r="AP44" t="s">
        <v>51</v>
      </c>
      <c r="AQ44">
        <v>1</v>
      </c>
      <c r="AR44">
        <v>1</v>
      </c>
      <c r="AS44">
        <v>1</v>
      </c>
      <c r="AT44">
        <v>1</v>
      </c>
      <c r="AU44">
        <v>1</v>
      </c>
      <c r="AV44">
        <v>1</v>
      </c>
      <c r="AW44" t="s">
        <v>113</v>
      </c>
      <c r="AX44">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45" spans="1:50" hidden="1">
      <c r="A45">
        <v>44</v>
      </c>
      <c r="B45" t="s">
        <v>108</v>
      </c>
      <c r="C45" s="10">
        <v>39102488</v>
      </c>
      <c r="D45" t="s">
        <v>114</v>
      </c>
      <c r="E45">
        <v>2</v>
      </c>
      <c r="F45">
        <v>0</v>
      </c>
      <c r="G45">
        <v>1</v>
      </c>
      <c r="H45">
        <v>1</v>
      </c>
      <c r="I45">
        <v>1</v>
      </c>
      <c r="J45">
        <v>1</v>
      </c>
      <c r="K45">
        <v>1</v>
      </c>
      <c r="L45">
        <v>1</v>
      </c>
      <c r="M45">
        <v>1</v>
      </c>
      <c r="N45">
        <v>1</v>
      </c>
      <c r="O45">
        <v>1</v>
      </c>
      <c r="P45">
        <v>1</v>
      </c>
      <c r="Q45">
        <v>1</v>
      </c>
      <c r="R45">
        <v>1</v>
      </c>
      <c r="S45">
        <v>1</v>
      </c>
      <c r="T45">
        <v>2</v>
      </c>
      <c r="U45">
        <v>1</v>
      </c>
      <c r="V45">
        <v>1</v>
      </c>
      <c r="W45">
        <v>2</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c r="AS45">
        <v>1</v>
      </c>
      <c r="AT45">
        <v>1</v>
      </c>
      <c r="AU45">
        <v>1</v>
      </c>
      <c r="AV45">
        <v>1</v>
      </c>
      <c r="AW45" t="s">
        <v>115</v>
      </c>
      <c r="AX45">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46" spans="1:50" hidden="1">
      <c r="A46">
        <v>45</v>
      </c>
      <c r="B46" t="s">
        <v>108</v>
      </c>
      <c r="C46" s="10">
        <v>39104170</v>
      </c>
      <c r="D46" t="s">
        <v>116</v>
      </c>
      <c r="E46">
        <v>1</v>
      </c>
      <c r="F46">
        <v>0</v>
      </c>
      <c r="G46">
        <v>1</v>
      </c>
      <c r="H46">
        <v>1</v>
      </c>
      <c r="I46">
        <v>1</v>
      </c>
      <c r="J46">
        <v>1</v>
      </c>
      <c r="K46">
        <v>1</v>
      </c>
      <c r="L46">
        <v>1</v>
      </c>
      <c r="M46">
        <v>1</v>
      </c>
      <c r="N46">
        <v>1</v>
      </c>
      <c r="O46">
        <v>1</v>
      </c>
      <c r="P46">
        <v>0</v>
      </c>
      <c r="Q46" t="s">
        <v>51</v>
      </c>
      <c r="R46" t="s">
        <v>51</v>
      </c>
      <c r="S46">
        <v>0</v>
      </c>
      <c r="T46" t="s">
        <v>51</v>
      </c>
      <c r="U46" t="s">
        <v>51</v>
      </c>
      <c r="V46">
        <v>1</v>
      </c>
      <c r="W46">
        <v>1</v>
      </c>
      <c r="X46">
        <v>1</v>
      </c>
      <c r="Y46">
        <v>1</v>
      </c>
      <c r="Z46">
        <v>2</v>
      </c>
      <c r="AA46">
        <v>1</v>
      </c>
      <c r="AB46">
        <v>1</v>
      </c>
      <c r="AC46">
        <v>1</v>
      </c>
      <c r="AD46">
        <v>2</v>
      </c>
      <c r="AE46">
        <v>1</v>
      </c>
      <c r="AF46">
        <v>2</v>
      </c>
      <c r="AG46">
        <v>1</v>
      </c>
      <c r="AH46">
        <v>1</v>
      </c>
      <c r="AI46">
        <v>1</v>
      </c>
      <c r="AJ46">
        <v>1</v>
      </c>
      <c r="AK46">
        <v>1</v>
      </c>
      <c r="AL46">
        <v>1</v>
      </c>
      <c r="AM46">
        <v>1</v>
      </c>
      <c r="AN46">
        <v>1</v>
      </c>
      <c r="AO46">
        <v>2</v>
      </c>
      <c r="AP46">
        <v>1</v>
      </c>
      <c r="AQ46">
        <v>1</v>
      </c>
      <c r="AR46">
        <v>2</v>
      </c>
      <c r="AS46">
        <v>1</v>
      </c>
      <c r="AT46">
        <v>1</v>
      </c>
      <c r="AU46">
        <v>1</v>
      </c>
      <c r="AV46">
        <v>1</v>
      </c>
      <c r="AW46" t="s">
        <v>117</v>
      </c>
      <c r="AX4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47" spans="1:50" hidden="1">
      <c r="A47">
        <v>46</v>
      </c>
      <c r="B47" t="s">
        <v>108</v>
      </c>
      <c r="C47" s="10">
        <v>39103853</v>
      </c>
      <c r="D47" t="s">
        <v>118</v>
      </c>
      <c r="E47">
        <v>1</v>
      </c>
      <c r="F47">
        <v>0</v>
      </c>
      <c r="G47">
        <v>1</v>
      </c>
      <c r="H47">
        <v>2</v>
      </c>
      <c r="I47">
        <v>1</v>
      </c>
      <c r="J47">
        <v>1</v>
      </c>
      <c r="K47">
        <v>1</v>
      </c>
      <c r="L47">
        <v>1</v>
      </c>
      <c r="M47">
        <v>1</v>
      </c>
      <c r="N47">
        <v>1</v>
      </c>
      <c r="O47">
        <v>1</v>
      </c>
      <c r="P47">
        <v>0</v>
      </c>
      <c r="Q47" t="s">
        <v>51</v>
      </c>
      <c r="R47" t="s">
        <v>51</v>
      </c>
      <c r="S47">
        <v>0</v>
      </c>
      <c r="T47" t="s">
        <v>51</v>
      </c>
      <c r="U47" t="s">
        <v>51</v>
      </c>
      <c r="V47">
        <v>1</v>
      </c>
      <c r="W47">
        <v>1</v>
      </c>
      <c r="X47">
        <v>1</v>
      </c>
      <c r="Y47">
        <v>1</v>
      </c>
      <c r="Z47">
        <v>1</v>
      </c>
      <c r="AA47">
        <v>1</v>
      </c>
      <c r="AB47">
        <v>1</v>
      </c>
      <c r="AC47">
        <v>1</v>
      </c>
      <c r="AD47">
        <v>1</v>
      </c>
      <c r="AE47">
        <v>1</v>
      </c>
      <c r="AF47">
        <v>2</v>
      </c>
      <c r="AG47">
        <v>1</v>
      </c>
      <c r="AH47">
        <v>1</v>
      </c>
      <c r="AI47">
        <v>1</v>
      </c>
      <c r="AJ47">
        <v>1</v>
      </c>
      <c r="AK47">
        <v>1</v>
      </c>
      <c r="AL47">
        <v>1</v>
      </c>
      <c r="AM47">
        <v>1</v>
      </c>
      <c r="AN47">
        <v>1</v>
      </c>
      <c r="AO47">
        <v>1</v>
      </c>
      <c r="AP47">
        <v>1</v>
      </c>
      <c r="AQ47">
        <v>1</v>
      </c>
      <c r="AR47">
        <v>1</v>
      </c>
      <c r="AS47">
        <v>1</v>
      </c>
      <c r="AT47">
        <v>1</v>
      </c>
      <c r="AU47">
        <v>1</v>
      </c>
      <c r="AV47">
        <v>1</v>
      </c>
      <c r="AX47">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48" spans="1:50" hidden="1">
      <c r="A48">
        <v>47</v>
      </c>
      <c r="B48" t="s">
        <v>108</v>
      </c>
      <c r="C48" s="10">
        <v>39106268</v>
      </c>
      <c r="D48" t="s">
        <v>119</v>
      </c>
      <c r="E48">
        <v>2</v>
      </c>
      <c r="F48">
        <v>0</v>
      </c>
      <c r="G48">
        <v>1</v>
      </c>
      <c r="H48">
        <v>1</v>
      </c>
      <c r="I48">
        <v>1</v>
      </c>
      <c r="J48">
        <v>1</v>
      </c>
      <c r="K48">
        <v>1</v>
      </c>
      <c r="L48">
        <v>1</v>
      </c>
      <c r="M48">
        <v>1</v>
      </c>
      <c r="N48">
        <v>1</v>
      </c>
      <c r="O48">
        <v>1</v>
      </c>
      <c r="P48">
        <v>0</v>
      </c>
      <c r="Q48" t="s">
        <v>51</v>
      </c>
      <c r="R48" t="s">
        <v>51</v>
      </c>
      <c r="S48">
        <v>0</v>
      </c>
      <c r="T48" t="s">
        <v>51</v>
      </c>
      <c r="U48" t="s">
        <v>51</v>
      </c>
      <c r="V48">
        <v>1</v>
      </c>
      <c r="W48">
        <v>1</v>
      </c>
      <c r="X48">
        <v>1</v>
      </c>
      <c r="Y48">
        <v>0</v>
      </c>
      <c r="Z48" t="s">
        <v>51</v>
      </c>
      <c r="AA48" t="s">
        <v>51</v>
      </c>
      <c r="AB48">
        <v>1</v>
      </c>
      <c r="AC48">
        <v>1</v>
      </c>
      <c r="AD48">
        <v>2</v>
      </c>
      <c r="AE48">
        <v>0</v>
      </c>
      <c r="AF48" t="s">
        <v>51</v>
      </c>
      <c r="AG48" t="s">
        <v>51</v>
      </c>
      <c r="AH48">
        <v>1</v>
      </c>
      <c r="AI48">
        <v>1</v>
      </c>
      <c r="AJ48">
        <v>1</v>
      </c>
      <c r="AK48">
        <v>1</v>
      </c>
      <c r="AL48">
        <v>1</v>
      </c>
      <c r="AM48">
        <v>1</v>
      </c>
      <c r="AN48">
        <v>0</v>
      </c>
      <c r="AO48" t="s">
        <v>51</v>
      </c>
      <c r="AP48" t="s">
        <v>51</v>
      </c>
      <c r="AQ48">
        <v>1</v>
      </c>
      <c r="AR48">
        <v>1</v>
      </c>
      <c r="AS48">
        <v>1</v>
      </c>
      <c r="AT48">
        <v>1</v>
      </c>
      <c r="AU48">
        <v>1</v>
      </c>
      <c r="AV48">
        <v>1</v>
      </c>
      <c r="AW48" t="s">
        <v>120</v>
      </c>
      <c r="AX48">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49" spans="1:50" hidden="1">
      <c r="A49">
        <v>48</v>
      </c>
      <c r="B49" t="s">
        <v>108</v>
      </c>
      <c r="C49" s="10">
        <v>39038501</v>
      </c>
      <c r="D49" t="s">
        <v>77</v>
      </c>
      <c r="E49">
        <v>1</v>
      </c>
      <c r="F49">
        <v>0</v>
      </c>
      <c r="G49">
        <v>1</v>
      </c>
      <c r="H49">
        <v>1</v>
      </c>
      <c r="I49">
        <v>1</v>
      </c>
      <c r="J49">
        <v>1</v>
      </c>
      <c r="K49">
        <v>1</v>
      </c>
      <c r="L49">
        <v>1</v>
      </c>
      <c r="M49">
        <v>1</v>
      </c>
      <c r="N49">
        <v>1</v>
      </c>
      <c r="O49">
        <v>1</v>
      </c>
      <c r="P49">
        <v>0</v>
      </c>
      <c r="Q49" t="s">
        <v>51</v>
      </c>
      <c r="R49" t="s">
        <v>51</v>
      </c>
      <c r="S49">
        <v>0</v>
      </c>
      <c r="T49" t="s">
        <v>51</v>
      </c>
      <c r="U49" t="s">
        <v>51</v>
      </c>
      <c r="V49">
        <v>1</v>
      </c>
      <c r="W49">
        <v>1</v>
      </c>
      <c r="X49">
        <v>1</v>
      </c>
      <c r="Y49">
        <v>1</v>
      </c>
      <c r="Z49">
        <v>1</v>
      </c>
      <c r="AA49">
        <v>1</v>
      </c>
      <c r="AB49">
        <v>1</v>
      </c>
      <c r="AC49">
        <v>1</v>
      </c>
      <c r="AD49">
        <v>1</v>
      </c>
      <c r="AE49">
        <v>1</v>
      </c>
      <c r="AF49">
        <v>2</v>
      </c>
      <c r="AG49">
        <v>1</v>
      </c>
      <c r="AH49">
        <v>1</v>
      </c>
      <c r="AI49">
        <v>1</v>
      </c>
      <c r="AJ49">
        <v>1</v>
      </c>
      <c r="AK49">
        <v>1</v>
      </c>
      <c r="AL49">
        <v>1</v>
      </c>
      <c r="AM49">
        <v>1</v>
      </c>
      <c r="AN49">
        <v>1</v>
      </c>
      <c r="AO49">
        <v>2</v>
      </c>
      <c r="AP49">
        <v>1</v>
      </c>
      <c r="AQ49">
        <v>1</v>
      </c>
      <c r="AR49">
        <v>1</v>
      </c>
      <c r="AS49">
        <v>1</v>
      </c>
      <c r="AT49">
        <v>1</v>
      </c>
      <c r="AU49">
        <v>1</v>
      </c>
      <c r="AV49">
        <v>1</v>
      </c>
      <c r="AW49" t="s">
        <v>121</v>
      </c>
      <c r="AX49">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50" spans="1:50" hidden="1">
      <c r="A50">
        <v>49</v>
      </c>
      <c r="B50" t="s">
        <v>108</v>
      </c>
      <c r="C50" s="10">
        <v>39110546</v>
      </c>
      <c r="D50" t="s">
        <v>122</v>
      </c>
      <c r="E50">
        <v>1</v>
      </c>
      <c r="F50">
        <v>0</v>
      </c>
      <c r="G50">
        <v>1</v>
      </c>
      <c r="H50">
        <v>1</v>
      </c>
      <c r="I50">
        <v>1</v>
      </c>
      <c r="J50">
        <v>1</v>
      </c>
      <c r="K50">
        <v>1</v>
      </c>
      <c r="L50">
        <v>1</v>
      </c>
      <c r="M50">
        <v>1</v>
      </c>
      <c r="N50">
        <v>1</v>
      </c>
      <c r="O50">
        <v>1</v>
      </c>
      <c r="P50">
        <v>0</v>
      </c>
      <c r="Q50" t="s">
        <v>51</v>
      </c>
      <c r="R50" t="s">
        <v>51</v>
      </c>
      <c r="S50">
        <v>0</v>
      </c>
      <c r="T50" t="s">
        <v>51</v>
      </c>
      <c r="U50" t="s">
        <v>51</v>
      </c>
      <c r="V50">
        <v>1</v>
      </c>
      <c r="W50">
        <v>1</v>
      </c>
      <c r="X50">
        <v>1</v>
      </c>
      <c r="Y50">
        <v>1</v>
      </c>
      <c r="Z50">
        <v>1</v>
      </c>
      <c r="AA50">
        <v>1</v>
      </c>
      <c r="AB50">
        <v>1</v>
      </c>
      <c r="AC50">
        <v>1</v>
      </c>
      <c r="AD50">
        <v>1</v>
      </c>
      <c r="AE50">
        <v>1</v>
      </c>
      <c r="AF50">
        <v>1</v>
      </c>
      <c r="AG50">
        <v>1</v>
      </c>
      <c r="AH50">
        <v>1</v>
      </c>
      <c r="AI50">
        <v>1</v>
      </c>
      <c r="AJ50">
        <v>1</v>
      </c>
      <c r="AK50">
        <v>1</v>
      </c>
      <c r="AL50">
        <v>1</v>
      </c>
      <c r="AM50">
        <v>1</v>
      </c>
      <c r="AN50">
        <v>1</v>
      </c>
      <c r="AO50">
        <v>2</v>
      </c>
      <c r="AP50">
        <v>1</v>
      </c>
      <c r="AQ50">
        <v>1</v>
      </c>
      <c r="AR50">
        <v>1</v>
      </c>
      <c r="AS50">
        <v>1</v>
      </c>
      <c r="AT50">
        <v>1</v>
      </c>
      <c r="AU50">
        <v>1</v>
      </c>
      <c r="AV50">
        <v>1</v>
      </c>
      <c r="AW50" t="s">
        <v>123</v>
      </c>
      <c r="AX50">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51" spans="1:50" hidden="1">
      <c r="A51">
        <v>50</v>
      </c>
      <c r="B51" t="s">
        <v>108</v>
      </c>
      <c r="C51" s="10">
        <v>39112889</v>
      </c>
      <c r="D51" t="s">
        <v>124</v>
      </c>
      <c r="E51">
        <v>1</v>
      </c>
      <c r="F51">
        <v>0</v>
      </c>
      <c r="G51">
        <v>1</v>
      </c>
      <c r="H51">
        <v>1</v>
      </c>
      <c r="I51">
        <v>1</v>
      </c>
      <c r="J51">
        <v>1</v>
      </c>
      <c r="K51">
        <v>1</v>
      </c>
      <c r="L51">
        <v>1</v>
      </c>
      <c r="M51">
        <v>1</v>
      </c>
      <c r="N51">
        <v>1</v>
      </c>
      <c r="O51">
        <v>1</v>
      </c>
      <c r="P51">
        <v>1</v>
      </c>
      <c r="Q51">
        <v>1</v>
      </c>
      <c r="R51">
        <v>1</v>
      </c>
      <c r="S51">
        <v>0</v>
      </c>
      <c r="T51" t="s">
        <v>51</v>
      </c>
      <c r="U51" t="s">
        <v>51</v>
      </c>
      <c r="V51">
        <v>1</v>
      </c>
      <c r="W51">
        <v>1</v>
      </c>
      <c r="X51">
        <v>1</v>
      </c>
      <c r="Y51">
        <v>1</v>
      </c>
      <c r="Z51">
        <v>1</v>
      </c>
      <c r="AA51">
        <v>1</v>
      </c>
      <c r="AB51">
        <v>1</v>
      </c>
      <c r="AC51">
        <v>1</v>
      </c>
      <c r="AD51">
        <v>1</v>
      </c>
      <c r="AE51">
        <v>1</v>
      </c>
      <c r="AF51">
        <v>1</v>
      </c>
      <c r="AG51">
        <v>1</v>
      </c>
      <c r="AH51">
        <v>1</v>
      </c>
      <c r="AI51">
        <v>1</v>
      </c>
      <c r="AJ51">
        <v>1</v>
      </c>
      <c r="AK51">
        <v>1</v>
      </c>
      <c r="AL51">
        <v>1</v>
      </c>
      <c r="AM51">
        <v>1</v>
      </c>
      <c r="AN51">
        <v>1</v>
      </c>
      <c r="AO51">
        <v>2</v>
      </c>
      <c r="AP51">
        <v>1</v>
      </c>
      <c r="AQ51">
        <v>1</v>
      </c>
      <c r="AR51">
        <v>1</v>
      </c>
      <c r="AS51">
        <v>1</v>
      </c>
      <c r="AT51">
        <v>1</v>
      </c>
      <c r="AU51">
        <v>1</v>
      </c>
      <c r="AV51">
        <v>1</v>
      </c>
      <c r="AX51">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52" spans="1:50" hidden="1">
      <c r="A52">
        <v>51</v>
      </c>
      <c r="B52" t="s">
        <v>125</v>
      </c>
      <c r="C52" s="10">
        <v>39103855</v>
      </c>
      <c r="D52" t="s">
        <v>126</v>
      </c>
      <c r="E52">
        <v>1</v>
      </c>
      <c r="F52">
        <v>0</v>
      </c>
      <c r="G52">
        <v>1</v>
      </c>
      <c r="H52">
        <v>1</v>
      </c>
      <c r="I52">
        <v>1</v>
      </c>
      <c r="J52">
        <v>1</v>
      </c>
      <c r="K52">
        <v>1</v>
      </c>
      <c r="L52">
        <v>1</v>
      </c>
      <c r="M52">
        <v>1</v>
      </c>
      <c r="N52">
        <v>1</v>
      </c>
      <c r="O52">
        <v>1</v>
      </c>
      <c r="P52">
        <v>1</v>
      </c>
      <c r="Q52">
        <v>1</v>
      </c>
      <c r="R52">
        <v>1</v>
      </c>
      <c r="S52">
        <v>0</v>
      </c>
      <c r="T52" t="s">
        <v>51</v>
      </c>
      <c r="U52" t="s">
        <v>51</v>
      </c>
      <c r="V52">
        <v>1</v>
      </c>
      <c r="W52">
        <v>1</v>
      </c>
      <c r="X52">
        <v>1</v>
      </c>
      <c r="Y52">
        <v>1</v>
      </c>
      <c r="Z52">
        <v>1</v>
      </c>
      <c r="AA52">
        <v>1</v>
      </c>
      <c r="AB52">
        <v>1</v>
      </c>
      <c r="AC52">
        <v>1</v>
      </c>
      <c r="AD52">
        <v>1</v>
      </c>
      <c r="AE52">
        <v>1</v>
      </c>
      <c r="AF52">
        <v>2</v>
      </c>
      <c r="AG52">
        <v>1</v>
      </c>
      <c r="AH52">
        <v>1</v>
      </c>
      <c r="AI52">
        <v>1</v>
      </c>
      <c r="AJ52">
        <v>1</v>
      </c>
      <c r="AK52">
        <v>1</v>
      </c>
      <c r="AL52">
        <v>1</v>
      </c>
      <c r="AM52">
        <v>1</v>
      </c>
      <c r="AN52">
        <v>1</v>
      </c>
      <c r="AO52">
        <v>2</v>
      </c>
      <c r="AP52">
        <v>1</v>
      </c>
      <c r="AQ52">
        <v>1</v>
      </c>
      <c r="AR52">
        <v>1</v>
      </c>
      <c r="AS52">
        <v>1</v>
      </c>
      <c r="AT52">
        <v>1</v>
      </c>
      <c r="AU52">
        <v>1</v>
      </c>
      <c r="AV52">
        <v>1</v>
      </c>
      <c r="AW52" t="s">
        <v>127</v>
      </c>
      <c r="AX52">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53" spans="1:50" hidden="1">
      <c r="A53">
        <v>52</v>
      </c>
      <c r="B53" t="s">
        <v>125</v>
      </c>
      <c r="C53" s="10">
        <v>39107449</v>
      </c>
      <c r="D53" t="s">
        <v>128</v>
      </c>
      <c r="E53">
        <v>1</v>
      </c>
      <c r="F53">
        <v>0</v>
      </c>
      <c r="G53">
        <v>1</v>
      </c>
      <c r="H53">
        <v>1</v>
      </c>
      <c r="I53">
        <v>1</v>
      </c>
      <c r="J53">
        <v>1</v>
      </c>
      <c r="K53">
        <v>1</v>
      </c>
      <c r="L53">
        <v>1</v>
      </c>
      <c r="M53">
        <v>1</v>
      </c>
      <c r="N53">
        <v>1</v>
      </c>
      <c r="O53">
        <v>1</v>
      </c>
      <c r="P53">
        <v>0</v>
      </c>
      <c r="Q53" t="s">
        <v>51</v>
      </c>
      <c r="R53" t="s">
        <v>51</v>
      </c>
      <c r="S53">
        <v>1</v>
      </c>
      <c r="T53">
        <v>1</v>
      </c>
      <c r="U53">
        <v>1</v>
      </c>
      <c r="V53">
        <v>1</v>
      </c>
      <c r="W53">
        <v>1</v>
      </c>
      <c r="X53">
        <v>1</v>
      </c>
      <c r="Y53">
        <v>1</v>
      </c>
      <c r="Z53">
        <v>1</v>
      </c>
      <c r="AA53">
        <v>1</v>
      </c>
      <c r="AB53">
        <v>1</v>
      </c>
      <c r="AC53">
        <v>1</v>
      </c>
      <c r="AD53">
        <v>1</v>
      </c>
      <c r="AE53">
        <v>1</v>
      </c>
      <c r="AF53">
        <v>2</v>
      </c>
      <c r="AG53">
        <v>1</v>
      </c>
      <c r="AH53">
        <v>1</v>
      </c>
      <c r="AI53">
        <v>1</v>
      </c>
      <c r="AJ53">
        <v>1</v>
      </c>
      <c r="AK53">
        <v>1</v>
      </c>
      <c r="AL53">
        <v>1</v>
      </c>
      <c r="AM53">
        <v>1</v>
      </c>
      <c r="AN53">
        <v>1</v>
      </c>
      <c r="AO53">
        <v>2</v>
      </c>
      <c r="AP53">
        <v>1</v>
      </c>
      <c r="AQ53">
        <v>1</v>
      </c>
      <c r="AR53">
        <v>1</v>
      </c>
      <c r="AS53">
        <v>1</v>
      </c>
      <c r="AT53">
        <v>1</v>
      </c>
      <c r="AU53">
        <v>1</v>
      </c>
      <c r="AV53">
        <v>1</v>
      </c>
      <c r="AW53" t="s">
        <v>129</v>
      </c>
      <c r="AX53">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54" spans="1:50" hidden="1">
      <c r="A54">
        <v>53</v>
      </c>
      <c r="B54" t="s">
        <v>125</v>
      </c>
      <c r="C54" s="10">
        <v>39108082</v>
      </c>
      <c r="D54" t="s">
        <v>130</v>
      </c>
      <c r="E54">
        <v>1</v>
      </c>
      <c r="F54">
        <v>0</v>
      </c>
      <c r="G54">
        <v>1</v>
      </c>
      <c r="H54">
        <v>1</v>
      </c>
      <c r="I54">
        <v>1</v>
      </c>
      <c r="J54">
        <v>1</v>
      </c>
      <c r="K54">
        <v>1</v>
      </c>
      <c r="L54">
        <v>1</v>
      </c>
      <c r="M54">
        <v>1</v>
      </c>
      <c r="N54">
        <v>1</v>
      </c>
      <c r="O54">
        <v>1</v>
      </c>
      <c r="P54">
        <v>1</v>
      </c>
      <c r="Q54">
        <v>1</v>
      </c>
      <c r="R54">
        <v>1</v>
      </c>
      <c r="S54">
        <v>0</v>
      </c>
      <c r="T54" t="s">
        <v>51</v>
      </c>
      <c r="U54" t="s">
        <v>51</v>
      </c>
      <c r="V54">
        <v>1</v>
      </c>
      <c r="W54">
        <v>1</v>
      </c>
      <c r="X54">
        <v>1</v>
      </c>
      <c r="Y54">
        <v>1</v>
      </c>
      <c r="Z54">
        <v>1</v>
      </c>
      <c r="AA54">
        <v>1</v>
      </c>
      <c r="AB54">
        <v>1</v>
      </c>
      <c r="AC54">
        <v>1</v>
      </c>
      <c r="AD54">
        <v>1</v>
      </c>
      <c r="AE54">
        <v>1</v>
      </c>
      <c r="AF54">
        <v>2</v>
      </c>
      <c r="AG54">
        <v>1</v>
      </c>
      <c r="AH54">
        <v>1</v>
      </c>
      <c r="AI54">
        <v>1</v>
      </c>
      <c r="AJ54">
        <v>1</v>
      </c>
      <c r="AK54">
        <v>1</v>
      </c>
      <c r="AL54">
        <v>1</v>
      </c>
      <c r="AM54">
        <v>1</v>
      </c>
      <c r="AN54">
        <v>1</v>
      </c>
      <c r="AO54">
        <v>2</v>
      </c>
      <c r="AP54">
        <v>1</v>
      </c>
      <c r="AQ54">
        <v>1</v>
      </c>
      <c r="AR54">
        <v>1</v>
      </c>
      <c r="AS54">
        <v>1</v>
      </c>
      <c r="AT54">
        <v>1</v>
      </c>
      <c r="AU54">
        <v>1</v>
      </c>
      <c r="AV54">
        <v>1</v>
      </c>
      <c r="AW54" t="s">
        <v>131</v>
      </c>
      <c r="AX54">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55" spans="1:50" hidden="1">
      <c r="A55">
        <v>54</v>
      </c>
      <c r="B55" t="s">
        <v>125</v>
      </c>
      <c r="C55" s="10">
        <v>39107753</v>
      </c>
      <c r="D55" t="s">
        <v>132</v>
      </c>
      <c r="E55">
        <v>2</v>
      </c>
      <c r="F55">
        <v>0</v>
      </c>
      <c r="G55">
        <v>1</v>
      </c>
      <c r="H55">
        <v>1</v>
      </c>
      <c r="I55">
        <v>1</v>
      </c>
      <c r="J55">
        <v>1</v>
      </c>
      <c r="K55">
        <v>1</v>
      </c>
      <c r="L55">
        <v>1</v>
      </c>
      <c r="M55">
        <v>1</v>
      </c>
      <c r="N55">
        <v>1</v>
      </c>
      <c r="O55">
        <v>1</v>
      </c>
      <c r="P55">
        <v>0</v>
      </c>
      <c r="Q55" t="s">
        <v>51</v>
      </c>
      <c r="R55" t="s">
        <v>51</v>
      </c>
      <c r="S55">
        <v>0</v>
      </c>
      <c r="T55" t="s">
        <v>51</v>
      </c>
      <c r="U55" t="s">
        <v>51</v>
      </c>
      <c r="V55">
        <v>1</v>
      </c>
      <c r="W55">
        <v>1</v>
      </c>
      <c r="X55">
        <v>1</v>
      </c>
      <c r="Y55">
        <v>1</v>
      </c>
      <c r="Z55">
        <v>1</v>
      </c>
      <c r="AA55">
        <v>1</v>
      </c>
      <c r="AB55">
        <v>1</v>
      </c>
      <c r="AC55">
        <v>1</v>
      </c>
      <c r="AD55">
        <v>1</v>
      </c>
      <c r="AE55">
        <v>1</v>
      </c>
      <c r="AF55">
        <v>1</v>
      </c>
      <c r="AG55">
        <v>1</v>
      </c>
      <c r="AH55">
        <v>1</v>
      </c>
      <c r="AI55">
        <v>1</v>
      </c>
      <c r="AJ55">
        <v>1</v>
      </c>
      <c r="AK55">
        <v>1</v>
      </c>
      <c r="AL55">
        <v>1</v>
      </c>
      <c r="AM55">
        <v>1</v>
      </c>
      <c r="AN55">
        <v>0</v>
      </c>
      <c r="AO55" t="s">
        <v>51</v>
      </c>
      <c r="AP55" t="s">
        <v>51</v>
      </c>
      <c r="AQ55">
        <v>1</v>
      </c>
      <c r="AR55">
        <v>1</v>
      </c>
      <c r="AS55">
        <v>1</v>
      </c>
      <c r="AT55">
        <v>1</v>
      </c>
      <c r="AU55">
        <v>1</v>
      </c>
      <c r="AV55">
        <v>1</v>
      </c>
      <c r="AW55" t="s">
        <v>133</v>
      </c>
      <c r="AX55">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56" spans="1:50" hidden="1">
      <c r="A56">
        <v>55</v>
      </c>
      <c r="B56" t="s">
        <v>125</v>
      </c>
      <c r="C56" s="10">
        <v>39109680</v>
      </c>
      <c r="D56" t="s">
        <v>134</v>
      </c>
      <c r="E56">
        <v>2</v>
      </c>
      <c r="F56">
        <v>0</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c r="AD56">
        <v>1</v>
      </c>
      <c r="AE56">
        <v>1</v>
      </c>
      <c r="AF56">
        <v>2</v>
      </c>
      <c r="AG56">
        <v>1</v>
      </c>
      <c r="AH56">
        <v>1</v>
      </c>
      <c r="AI56">
        <v>1</v>
      </c>
      <c r="AJ56">
        <v>1</v>
      </c>
      <c r="AK56">
        <v>1</v>
      </c>
      <c r="AL56">
        <v>1</v>
      </c>
      <c r="AM56">
        <v>1</v>
      </c>
      <c r="AN56">
        <v>0</v>
      </c>
      <c r="AO56" t="s">
        <v>51</v>
      </c>
      <c r="AP56" t="s">
        <v>51</v>
      </c>
      <c r="AQ56">
        <v>1</v>
      </c>
      <c r="AR56">
        <v>1</v>
      </c>
      <c r="AS56">
        <v>1</v>
      </c>
      <c r="AT56">
        <v>1</v>
      </c>
      <c r="AU56">
        <v>1</v>
      </c>
      <c r="AV56">
        <v>1</v>
      </c>
      <c r="AW56" t="s">
        <v>135</v>
      </c>
      <c r="AX5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57" spans="1:50" hidden="1">
      <c r="A57">
        <v>56</v>
      </c>
      <c r="B57" t="s">
        <v>125</v>
      </c>
      <c r="C57" s="10">
        <v>39107648</v>
      </c>
      <c r="D57" t="s">
        <v>136</v>
      </c>
      <c r="E57">
        <v>1</v>
      </c>
      <c r="F57">
        <v>0</v>
      </c>
      <c r="G57">
        <v>1</v>
      </c>
      <c r="H57">
        <v>1</v>
      </c>
      <c r="I57">
        <v>1</v>
      </c>
      <c r="J57">
        <v>1</v>
      </c>
      <c r="K57">
        <v>1</v>
      </c>
      <c r="L57">
        <v>1</v>
      </c>
      <c r="M57">
        <v>1</v>
      </c>
      <c r="N57">
        <v>1</v>
      </c>
      <c r="O57">
        <v>1</v>
      </c>
      <c r="P57">
        <v>1</v>
      </c>
      <c r="Q57">
        <v>1</v>
      </c>
      <c r="R57">
        <v>1</v>
      </c>
      <c r="S57">
        <v>0</v>
      </c>
      <c r="T57" t="s">
        <v>51</v>
      </c>
      <c r="U57" t="s">
        <v>51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t="s">
        <v>137</v>
      </c>
      <c r="AX57">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58" spans="1:50" hidden="1">
      <c r="A58">
        <v>57</v>
      </c>
      <c r="B58" t="s">
        <v>125</v>
      </c>
      <c r="C58" s="10">
        <v>39110191</v>
      </c>
      <c r="D58" t="s">
        <v>138</v>
      </c>
      <c r="E58">
        <v>1</v>
      </c>
      <c r="F58">
        <v>0</v>
      </c>
      <c r="G58">
        <v>1</v>
      </c>
      <c r="H58">
        <v>1</v>
      </c>
      <c r="I58">
        <v>1</v>
      </c>
      <c r="J58">
        <v>1</v>
      </c>
      <c r="K58">
        <v>1</v>
      </c>
      <c r="L58">
        <v>1</v>
      </c>
      <c r="M58">
        <v>1</v>
      </c>
      <c r="N58">
        <v>1</v>
      </c>
      <c r="O58">
        <v>1</v>
      </c>
      <c r="P58">
        <v>0</v>
      </c>
      <c r="Q58" t="s">
        <v>51</v>
      </c>
      <c r="R58" t="s">
        <v>51</v>
      </c>
      <c r="S58">
        <v>0</v>
      </c>
      <c r="T58" t="s">
        <v>51</v>
      </c>
      <c r="U58" t="s">
        <v>51</v>
      </c>
      <c r="V58">
        <v>1</v>
      </c>
      <c r="W58">
        <v>1</v>
      </c>
      <c r="X58">
        <v>1</v>
      </c>
      <c r="Y58">
        <v>1</v>
      </c>
      <c r="Z58">
        <v>1</v>
      </c>
      <c r="AA58">
        <v>1</v>
      </c>
      <c r="AB58">
        <v>1</v>
      </c>
      <c r="AC58">
        <v>1</v>
      </c>
      <c r="AD58">
        <v>1</v>
      </c>
      <c r="AE58">
        <v>1</v>
      </c>
      <c r="AF58">
        <v>1</v>
      </c>
      <c r="AG58">
        <v>1</v>
      </c>
      <c r="AH58">
        <v>1</v>
      </c>
      <c r="AI58">
        <v>1</v>
      </c>
      <c r="AJ58">
        <v>1</v>
      </c>
      <c r="AK58">
        <v>1</v>
      </c>
      <c r="AL58">
        <v>1</v>
      </c>
      <c r="AM58">
        <v>1</v>
      </c>
      <c r="AN58">
        <v>1</v>
      </c>
      <c r="AO58">
        <v>2</v>
      </c>
      <c r="AP58">
        <v>1</v>
      </c>
      <c r="AQ58">
        <v>1</v>
      </c>
      <c r="AR58">
        <v>1</v>
      </c>
      <c r="AS58">
        <v>1</v>
      </c>
      <c r="AT58">
        <v>1</v>
      </c>
      <c r="AU58">
        <v>1</v>
      </c>
      <c r="AV58">
        <v>1</v>
      </c>
      <c r="AW58" t="s">
        <v>139</v>
      </c>
      <c r="AX58">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59" spans="1:50" hidden="1">
      <c r="A59">
        <v>58</v>
      </c>
      <c r="B59" t="s">
        <v>125</v>
      </c>
      <c r="C59" s="10">
        <v>39109300</v>
      </c>
      <c r="D59" t="s">
        <v>140</v>
      </c>
      <c r="E59">
        <v>1</v>
      </c>
      <c r="F59">
        <v>0</v>
      </c>
      <c r="G59">
        <v>1</v>
      </c>
      <c r="H59">
        <v>1</v>
      </c>
      <c r="I59">
        <v>1</v>
      </c>
      <c r="J59">
        <v>1</v>
      </c>
      <c r="K59">
        <v>1</v>
      </c>
      <c r="L59">
        <v>1</v>
      </c>
      <c r="M59">
        <v>1</v>
      </c>
      <c r="N59">
        <v>1</v>
      </c>
      <c r="O59">
        <v>1</v>
      </c>
      <c r="P59">
        <v>0</v>
      </c>
      <c r="Q59" t="s">
        <v>51</v>
      </c>
      <c r="R59" t="s">
        <v>51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2</v>
      </c>
      <c r="AP59">
        <v>1</v>
      </c>
      <c r="AQ59">
        <v>1</v>
      </c>
      <c r="AR59">
        <v>1</v>
      </c>
      <c r="AS59">
        <v>1</v>
      </c>
      <c r="AT59">
        <v>1</v>
      </c>
      <c r="AU59">
        <v>1</v>
      </c>
      <c r="AV59">
        <v>1</v>
      </c>
      <c r="AW59" t="s">
        <v>141</v>
      </c>
      <c r="AX59">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60" spans="1:50" hidden="1">
      <c r="A60">
        <v>59</v>
      </c>
      <c r="B60" t="s">
        <v>125</v>
      </c>
      <c r="C60" s="10">
        <v>39112141</v>
      </c>
      <c r="D60" t="s">
        <v>142</v>
      </c>
      <c r="E60">
        <v>1</v>
      </c>
      <c r="F60">
        <v>0</v>
      </c>
      <c r="G60">
        <v>1</v>
      </c>
      <c r="H60">
        <v>1</v>
      </c>
      <c r="I60">
        <v>1</v>
      </c>
      <c r="J60">
        <v>1</v>
      </c>
      <c r="K60">
        <v>1</v>
      </c>
      <c r="L60">
        <v>1</v>
      </c>
      <c r="M60">
        <v>1</v>
      </c>
      <c r="N60">
        <v>1</v>
      </c>
      <c r="O60">
        <v>1</v>
      </c>
      <c r="P60">
        <v>0</v>
      </c>
      <c r="Q60" t="s">
        <v>51</v>
      </c>
      <c r="R60" t="s">
        <v>51</v>
      </c>
      <c r="S60">
        <v>0</v>
      </c>
      <c r="T60" t="s">
        <v>51</v>
      </c>
      <c r="U60" t="s">
        <v>51</v>
      </c>
      <c r="V60">
        <v>1</v>
      </c>
      <c r="W60">
        <v>1</v>
      </c>
      <c r="X60">
        <v>1</v>
      </c>
      <c r="Y60">
        <v>1</v>
      </c>
      <c r="Z60">
        <v>1</v>
      </c>
      <c r="AA60">
        <v>1</v>
      </c>
      <c r="AB60">
        <v>1</v>
      </c>
      <c r="AC60">
        <v>1</v>
      </c>
      <c r="AD60">
        <v>1</v>
      </c>
      <c r="AE60">
        <v>1</v>
      </c>
      <c r="AF60">
        <v>1</v>
      </c>
      <c r="AG60">
        <v>1</v>
      </c>
      <c r="AH60">
        <v>1</v>
      </c>
      <c r="AI60">
        <v>1</v>
      </c>
      <c r="AJ60">
        <v>1</v>
      </c>
      <c r="AK60">
        <v>1</v>
      </c>
      <c r="AL60">
        <v>1</v>
      </c>
      <c r="AM60">
        <v>1</v>
      </c>
      <c r="AN60">
        <v>1</v>
      </c>
      <c r="AO60">
        <v>2</v>
      </c>
      <c r="AP60">
        <v>1</v>
      </c>
      <c r="AQ60">
        <v>1</v>
      </c>
      <c r="AR60">
        <v>1</v>
      </c>
      <c r="AS60">
        <v>1</v>
      </c>
      <c r="AT60">
        <v>1</v>
      </c>
      <c r="AU60">
        <v>1</v>
      </c>
      <c r="AV60">
        <v>1</v>
      </c>
      <c r="AX60">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61" spans="1:50" hidden="1">
      <c r="A61">
        <v>60</v>
      </c>
      <c r="B61" t="s">
        <v>125</v>
      </c>
      <c r="D61" t="s">
        <v>143</v>
      </c>
      <c r="E61">
        <v>1</v>
      </c>
      <c r="F61">
        <v>0</v>
      </c>
      <c r="G61">
        <v>1</v>
      </c>
      <c r="H61">
        <v>1</v>
      </c>
      <c r="I61">
        <v>1</v>
      </c>
      <c r="J61">
        <v>1</v>
      </c>
      <c r="K61">
        <v>1</v>
      </c>
      <c r="L61">
        <v>1</v>
      </c>
      <c r="M61">
        <v>1</v>
      </c>
      <c r="N61">
        <v>1</v>
      </c>
      <c r="O61">
        <v>1</v>
      </c>
      <c r="P61">
        <v>0</v>
      </c>
      <c r="Q61" t="s">
        <v>51</v>
      </c>
      <c r="R61" t="s">
        <v>51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2</v>
      </c>
      <c r="AP61">
        <v>1</v>
      </c>
      <c r="AQ61">
        <v>1</v>
      </c>
      <c r="AR61">
        <v>1</v>
      </c>
      <c r="AS61">
        <v>1</v>
      </c>
      <c r="AT61">
        <v>1</v>
      </c>
      <c r="AU61">
        <v>1</v>
      </c>
      <c r="AV61">
        <v>1</v>
      </c>
      <c r="AX61">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62" spans="1:50" hidden="1">
      <c r="A62">
        <v>61</v>
      </c>
      <c r="B62" t="s">
        <v>144</v>
      </c>
      <c r="C62" s="10">
        <v>39105344</v>
      </c>
      <c r="D62" t="s">
        <v>138</v>
      </c>
      <c r="E62">
        <v>1</v>
      </c>
      <c r="F62">
        <v>0</v>
      </c>
      <c r="G62">
        <v>1</v>
      </c>
      <c r="H62">
        <v>1</v>
      </c>
      <c r="I62">
        <v>1</v>
      </c>
      <c r="J62">
        <v>1</v>
      </c>
      <c r="K62">
        <v>1</v>
      </c>
      <c r="L62">
        <v>1</v>
      </c>
      <c r="M62">
        <v>1</v>
      </c>
      <c r="N62">
        <v>1</v>
      </c>
      <c r="O62">
        <v>1</v>
      </c>
      <c r="P62">
        <v>0</v>
      </c>
      <c r="Q62" t="s">
        <v>51</v>
      </c>
      <c r="R62" t="s">
        <v>51</v>
      </c>
      <c r="S62">
        <v>0</v>
      </c>
      <c r="T62" t="s">
        <v>51</v>
      </c>
      <c r="U62" t="s">
        <v>51</v>
      </c>
      <c r="V62">
        <v>0</v>
      </c>
      <c r="W62" t="s">
        <v>51</v>
      </c>
      <c r="X62" t="s">
        <v>51</v>
      </c>
      <c r="Y62">
        <v>1</v>
      </c>
      <c r="Z62">
        <v>1</v>
      </c>
      <c r="AA62">
        <v>1</v>
      </c>
      <c r="AB62">
        <v>1</v>
      </c>
      <c r="AC62">
        <v>2</v>
      </c>
      <c r="AD62">
        <v>1</v>
      </c>
      <c r="AE62">
        <v>1</v>
      </c>
      <c r="AF62">
        <v>2</v>
      </c>
      <c r="AG62">
        <v>1</v>
      </c>
      <c r="AH62">
        <v>1</v>
      </c>
      <c r="AI62">
        <v>1</v>
      </c>
      <c r="AJ62">
        <v>1</v>
      </c>
      <c r="AK62">
        <v>1</v>
      </c>
      <c r="AL62">
        <v>1</v>
      </c>
      <c r="AM62">
        <v>1</v>
      </c>
      <c r="AN62">
        <v>1</v>
      </c>
      <c r="AO62">
        <v>2</v>
      </c>
      <c r="AP62">
        <v>1</v>
      </c>
      <c r="AQ62">
        <v>1</v>
      </c>
      <c r="AR62">
        <v>1</v>
      </c>
      <c r="AS62">
        <v>1</v>
      </c>
      <c r="AT62">
        <v>1</v>
      </c>
      <c r="AU62">
        <v>1</v>
      </c>
      <c r="AV62">
        <v>1</v>
      </c>
      <c r="AX62">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63" spans="1:50" s="16" customFormat="1">
      <c r="A63" s="16">
        <v>62</v>
      </c>
      <c r="B63" s="16" t="s">
        <v>144</v>
      </c>
      <c r="C63" s="17">
        <v>39106459</v>
      </c>
      <c r="D63" s="16" t="s">
        <v>145</v>
      </c>
      <c r="E63" s="16">
        <v>2</v>
      </c>
      <c r="F63" s="16">
        <v>0</v>
      </c>
      <c r="G63" s="16">
        <v>1</v>
      </c>
      <c r="H63" s="16">
        <v>1</v>
      </c>
      <c r="I63" s="16">
        <v>1</v>
      </c>
      <c r="J63" s="16">
        <v>1</v>
      </c>
      <c r="K63" s="16">
        <v>1</v>
      </c>
      <c r="L63" s="16">
        <v>1</v>
      </c>
      <c r="M63" s="16">
        <v>1</v>
      </c>
      <c r="N63" s="16">
        <v>1</v>
      </c>
      <c r="O63" s="16">
        <v>1</v>
      </c>
      <c r="P63" s="16">
        <v>1</v>
      </c>
      <c r="Q63" s="16">
        <v>1</v>
      </c>
      <c r="R63" s="16">
        <v>1</v>
      </c>
      <c r="S63" s="16">
        <v>1</v>
      </c>
      <c r="T63" s="16">
        <v>1</v>
      </c>
      <c r="U63" s="16">
        <v>1</v>
      </c>
      <c r="V63" s="16">
        <v>1</v>
      </c>
      <c r="W63" s="16">
        <v>1</v>
      </c>
      <c r="X63" s="16">
        <v>1</v>
      </c>
      <c r="Y63" s="16">
        <v>1</v>
      </c>
      <c r="Z63" s="16">
        <v>1</v>
      </c>
      <c r="AA63" s="16">
        <v>1</v>
      </c>
      <c r="AB63" s="16">
        <v>1</v>
      </c>
      <c r="AC63" s="16">
        <v>1</v>
      </c>
      <c r="AD63" s="16">
        <v>3</v>
      </c>
      <c r="AE63" s="16">
        <v>1</v>
      </c>
      <c r="AF63" s="16">
        <v>1</v>
      </c>
      <c r="AG63" s="16">
        <v>1</v>
      </c>
      <c r="AH63" s="16">
        <v>1</v>
      </c>
      <c r="AI63" s="16">
        <v>1</v>
      </c>
      <c r="AJ63" s="16">
        <v>1</v>
      </c>
      <c r="AK63" s="16">
        <v>1</v>
      </c>
      <c r="AL63" s="16">
        <v>1</v>
      </c>
      <c r="AM63" s="16">
        <v>1</v>
      </c>
      <c r="AN63" s="16">
        <v>0</v>
      </c>
      <c r="AO63" s="16" t="s">
        <v>51</v>
      </c>
      <c r="AP63" s="16" t="s">
        <v>51</v>
      </c>
      <c r="AQ63" s="16">
        <v>1</v>
      </c>
      <c r="AR63" s="16">
        <v>1</v>
      </c>
      <c r="AS63" s="16">
        <v>1</v>
      </c>
      <c r="AT63" s="16">
        <v>1</v>
      </c>
      <c r="AU63" s="16">
        <v>1</v>
      </c>
      <c r="AV63" s="16">
        <v>1</v>
      </c>
      <c r="AW63" s="16" t="s">
        <v>146</v>
      </c>
      <c r="AX63" s="1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1</v>
      </c>
    </row>
    <row r="64" spans="1:50" s="16" customFormat="1">
      <c r="A64" s="16">
        <v>63</v>
      </c>
      <c r="B64" s="16" t="s">
        <v>144</v>
      </c>
      <c r="C64" s="17">
        <v>39103258</v>
      </c>
      <c r="D64" s="16" t="s">
        <v>147</v>
      </c>
      <c r="E64" s="16">
        <v>2</v>
      </c>
      <c r="F64" s="16">
        <v>0</v>
      </c>
      <c r="G64" s="16">
        <v>1</v>
      </c>
      <c r="H64" s="16">
        <v>1</v>
      </c>
      <c r="I64" s="16">
        <v>1</v>
      </c>
      <c r="J64" s="16">
        <v>1</v>
      </c>
      <c r="K64" s="16">
        <v>1</v>
      </c>
      <c r="L64" s="16">
        <v>1</v>
      </c>
      <c r="M64" s="16">
        <v>1</v>
      </c>
      <c r="N64" s="16">
        <v>1</v>
      </c>
      <c r="O64" s="16">
        <v>1</v>
      </c>
      <c r="P64" s="16">
        <v>1</v>
      </c>
      <c r="Q64" s="16">
        <v>1</v>
      </c>
      <c r="R64" s="16">
        <v>1</v>
      </c>
      <c r="S64" s="16">
        <v>0</v>
      </c>
      <c r="T64" s="16" t="s">
        <v>51</v>
      </c>
      <c r="U64" s="16" t="s">
        <v>51</v>
      </c>
      <c r="V64" s="16">
        <v>1</v>
      </c>
      <c r="W64" s="16">
        <v>1</v>
      </c>
      <c r="X64" s="16">
        <v>3</v>
      </c>
      <c r="Y64" s="16">
        <v>1</v>
      </c>
      <c r="Z64" s="16">
        <v>1</v>
      </c>
      <c r="AA64" s="16">
        <v>1</v>
      </c>
      <c r="AB64" s="16">
        <v>1</v>
      </c>
      <c r="AC64" s="16">
        <v>1</v>
      </c>
      <c r="AD64" s="16">
        <v>1</v>
      </c>
      <c r="AE64" s="16">
        <v>1</v>
      </c>
      <c r="AF64" s="16">
        <v>1</v>
      </c>
      <c r="AG64" s="16">
        <v>1</v>
      </c>
      <c r="AH64" s="16">
        <v>1</v>
      </c>
      <c r="AI64" s="16">
        <v>1</v>
      </c>
      <c r="AJ64" s="16">
        <v>1</v>
      </c>
      <c r="AK64" s="16">
        <v>1</v>
      </c>
      <c r="AL64" s="16">
        <v>1</v>
      </c>
      <c r="AM64" s="16">
        <v>1</v>
      </c>
      <c r="AN64" s="16">
        <v>0</v>
      </c>
      <c r="AO64" s="16" t="s">
        <v>51</v>
      </c>
      <c r="AP64" s="16" t="s">
        <v>51</v>
      </c>
      <c r="AQ64" s="16">
        <v>1</v>
      </c>
      <c r="AR64" s="16">
        <v>1</v>
      </c>
      <c r="AS64" s="16">
        <v>1</v>
      </c>
      <c r="AT64" s="16">
        <v>0</v>
      </c>
      <c r="AU64" s="16" t="s">
        <v>51</v>
      </c>
      <c r="AV64" s="16" t="s">
        <v>51</v>
      </c>
      <c r="AW64" s="16" t="s">
        <v>148</v>
      </c>
      <c r="AX64" s="1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1</v>
      </c>
    </row>
    <row r="65" spans="1:50" hidden="1">
      <c r="A65">
        <v>64</v>
      </c>
      <c r="B65" t="s">
        <v>144</v>
      </c>
      <c r="C65" s="10">
        <v>39106334</v>
      </c>
      <c r="D65" t="s">
        <v>149</v>
      </c>
      <c r="E65">
        <v>1</v>
      </c>
      <c r="F65">
        <v>1</v>
      </c>
      <c r="G65">
        <v>1</v>
      </c>
      <c r="H65">
        <v>1</v>
      </c>
      <c r="I65">
        <v>1</v>
      </c>
      <c r="J65">
        <v>1</v>
      </c>
      <c r="K65">
        <v>1</v>
      </c>
      <c r="L65">
        <v>1</v>
      </c>
      <c r="M65">
        <v>1</v>
      </c>
      <c r="N65">
        <v>1</v>
      </c>
      <c r="O65">
        <v>1</v>
      </c>
      <c r="P65">
        <v>1</v>
      </c>
      <c r="Q65">
        <v>1</v>
      </c>
      <c r="R65">
        <v>1</v>
      </c>
      <c r="S65">
        <v>0</v>
      </c>
      <c r="T65" t="s">
        <v>51</v>
      </c>
      <c r="U65" t="s">
        <v>51</v>
      </c>
      <c r="V65">
        <v>1</v>
      </c>
      <c r="W65">
        <v>1</v>
      </c>
      <c r="X65">
        <v>1</v>
      </c>
      <c r="Y65">
        <v>1</v>
      </c>
      <c r="Z65">
        <v>1</v>
      </c>
      <c r="AA65">
        <v>1</v>
      </c>
      <c r="AB65">
        <v>1</v>
      </c>
      <c r="AC65">
        <v>1</v>
      </c>
      <c r="AD65">
        <v>1</v>
      </c>
      <c r="AE65">
        <v>0</v>
      </c>
      <c r="AF65" t="s">
        <v>51</v>
      </c>
      <c r="AG65" t="s">
        <v>51</v>
      </c>
      <c r="AH65">
        <v>1</v>
      </c>
      <c r="AI65">
        <v>1</v>
      </c>
      <c r="AJ65">
        <v>1</v>
      </c>
      <c r="AK65">
        <v>1</v>
      </c>
      <c r="AL65">
        <v>1</v>
      </c>
      <c r="AM65">
        <v>1</v>
      </c>
      <c r="AN65">
        <v>1</v>
      </c>
      <c r="AO65">
        <v>1</v>
      </c>
      <c r="AP65">
        <v>1</v>
      </c>
      <c r="AQ65">
        <v>1</v>
      </c>
      <c r="AR65">
        <v>1</v>
      </c>
      <c r="AS65">
        <v>1</v>
      </c>
      <c r="AT65">
        <v>1</v>
      </c>
      <c r="AU65">
        <v>1</v>
      </c>
      <c r="AV65">
        <v>1</v>
      </c>
      <c r="AX65">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66" spans="1:50" hidden="1">
      <c r="A66">
        <v>65</v>
      </c>
      <c r="B66" t="s">
        <v>144</v>
      </c>
      <c r="C66" s="10">
        <v>39109244</v>
      </c>
      <c r="D66" t="s">
        <v>99</v>
      </c>
      <c r="E66">
        <v>1</v>
      </c>
      <c r="F66">
        <v>0</v>
      </c>
      <c r="G66">
        <v>1</v>
      </c>
      <c r="H66">
        <v>1</v>
      </c>
      <c r="I66">
        <v>1</v>
      </c>
      <c r="J66">
        <v>1</v>
      </c>
      <c r="K66">
        <v>1</v>
      </c>
      <c r="L66">
        <v>1</v>
      </c>
      <c r="M66">
        <v>1</v>
      </c>
      <c r="N66">
        <v>1</v>
      </c>
      <c r="O66">
        <v>1</v>
      </c>
      <c r="P66">
        <v>1</v>
      </c>
      <c r="Q66">
        <v>1</v>
      </c>
      <c r="R66">
        <v>1</v>
      </c>
      <c r="S66">
        <v>1</v>
      </c>
      <c r="T66">
        <v>1</v>
      </c>
      <c r="U66">
        <v>1</v>
      </c>
      <c r="V66">
        <v>1</v>
      </c>
      <c r="W66">
        <v>1</v>
      </c>
      <c r="X66">
        <v>1</v>
      </c>
      <c r="Y66">
        <v>1</v>
      </c>
      <c r="Z66">
        <v>2</v>
      </c>
      <c r="AA66">
        <v>1</v>
      </c>
      <c r="AB66">
        <v>1</v>
      </c>
      <c r="AC66">
        <v>1</v>
      </c>
      <c r="AD66">
        <v>1</v>
      </c>
      <c r="AE66">
        <v>1</v>
      </c>
      <c r="AF66">
        <v>2</v>
      </c>
      <c r="AG66">
        <v>1</v>
      </c>
      <c r="AH66">
        <v>1</v>
      </c>
      <c r="AI66">
        <v>1</v>
      </c>
      <c r="AJ66">
        <v>1</v>
      </c>
      <c r="AK66">
        <v>1</v>
      </c>
      <c r="AL66">
        <v>1</v>
      </c>
      <c r="AM66">
        <v>1</v>
      </c>
      <c r="AN66">
        <v>1</v>
      </c>
      <c r="AO66">
        <v>2</v>
      </c>
      <c r="AP66">
        <v>1</v>
      </c>
      <c r="AQ66">
        <v>1</v>
      </c>
      <c r="AR66">
        <v>1</v>
      </c>
      <c r="AS66">
        <v>1</v>
      </c>
      <c r="AT66">
        <v>1</v>
      </c>
      <c r="AU66">
        <v>1</v>
      </c>
      <c r="AV66">
        <v>1</v>
      </c>
      <c r="AX6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67" spans="1:50" s="16" customFormat="1">
      <c r="A67" s="16">
        <v>66</v>
      </c>
      <c r="B67" s="16" t="s">
        <v>144</v>
      </c>
      <c r="C67" s="17">
        <v>39111396</v>
      </c>
      <c r="D67" s="16" t="s">
        <v>136</v>
      </c>
      <c r="E67" s="16">
        <v>1</v>
      </c>
      <c r="F67" s="16">
        <v>0</v>
      </c>
      <c r="G67" s="16">
        <v>1</v>
      </c>
      <c r="H67" s="16">
        <v>1</v>
      </c>
      <c r="I67" s="16">
        <v>3</v>
      </c>
      <c r="J67" s="16">
        <v>1</v>
      </c>
      <c r="K67" s="16">
        <v>1</v>
      </c>
      <c r="L67" s="16">
        <v>1</v>
      </c>
      <c r="M67" s="16">
        <v>1</v>
      </c>
      <c r="N67" s="16">
        <v>1</v>
      </c>
      <c r="O67" s="16">
        <v>1</v>
      </c>
      <c r="P67" s="16">
        <v>0</v>
      </c>
      <c r="Q67" s="16" t="s">
        <v>51</v>
      </c>
      <c r="R67" s="16" t="s">
        <v>51</v>
      </c>
      <c r="S67" s="16">
        <v>0</v>
      </c>
      <c r="T67" s="16" t="s">
        <v>51</v>
      </c>
      <c r="U67" s="16" t="s">
        <v>51</v>
      </c>
      <c r="V67" s="16">
        <v>0</v>
      </c>
      <c r="W67" s="16" t="s">
        <v>51</v>
      </c>
      <c r="X67" s="16" t="s">
        <v>51</v>
      </c>
      <c r="Y67" s="16">
        <v>1</v>
      </c>
      <c r="Z67" s="16">
        <v>1</v>
      </c>
      <c r="AA67" s="16">
        <v>1</v>
      </c>
      <c r="AB67" s="16">
        <v>1</v>
      </c>
      <c r="AC67" s="16">
        <v>2</v>
      </c>
      <c r="AD67" s="16">
        <v>1</v>
      </c>
      <c r="AE67" s="16">
        <v>1</v>
      </c>
      <c r="AF67" s="16">
        <v>1</v>
      </c>
      <c r="AG67" s="16">
        <v>1</v>
      </c>
      <c r="AH67" s="16">
        <v>1</v>
      </c>
      <c r="AI67" s="16">
        <v>1</v>
      </c>
      <c r="AJ67" s="16">
        <v>1</v>
      </c>
      <c r="AK67" s="16">
        <v>1</v>
      </c>
      <c r="AL67" s="16">
        <v>1</v>
      </c>
      <c r="AM67" s="16">
        <v>1</v>
      </c>
      <c r="AN67" s="16">
        <v>1</v>
      </c>
      <c r="AO67" s="16">
        <v>2</v>
      </c>
      <c r="AP67" s="16">
        <v>1</v>
      </c>
      <c r="AQ67" s="16">
        <v>1</v>
      </c>
      <c r="AR67" s="16">
        <v>1</v>
      </c>
      <c r="AS67" s="16">
        <v>1</v>
      </c>
      <c r="AT67" s="16">
        <v>1</v>
      </c>
      <c r="AU67" s="16">
        <v>1</v>
      </c>
      <c r="AV67" s="16">
        <v>1</v>
      </c>
      <c r="AW67" s="16" t="s">
        <v>150</v>
      </c>
      <c r="AX67" s="1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1</v>
      </c>
    </row>
    <row r="68" spans="1:50" hidden="1">
      <c r="A68">
        <v>67</v>
      </c>
      <c r="B68" t="s">
        <v>144</v>
      </c>
      <c r="C68" s="10">
        <v>39110384</v>
      </c>
      <c r="D68" t="s">
        <v>151</v>
      </c>
      <c r="E68">
        <v>1</v>
      </c>
      <c r="F68">
        <v>0</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c r="AD68">
        <v>1</v>
      </c>
      <c r="AE68">
        <v>1</v>
      </c>
      <c r="AF68">
        <v>1</v>
      </c>
      <c r="AG68">
        <v>1</v>
      </c>
      <c r="AH68">
        <v>1</v>
      </c>
      <c r="AI68">
        <v>1</v>
      </c>
      <c r="AJ68">
        <v>1</v>
      </c>
      <c r="AK68">
        <v>1</v>
      </c>
      <c r="AL68">
        <v>1</v>
      </c>
      <c r="AM68">
        <v>1</v>
      </c>
      <c r="AN68">
        <v>1</v>
      </c>
      <c r="AO68">
        <v>1</v>
      </c>
      <c r="AP68">
        <v>1</v>
      </c>
      <c r="AQ68">
        <v>1</v>
      </c>
      <c r="AR68">
        <v>1</v>
      </c>
      <c r="AS68">
        <v>1</v>
      </c>
      <c r="AT68">
        <v>1</v>
      </c>
      <c r="AU68">
        <v>1</v>
      </c>
      <c r="AV68">
        <v>1</v>
      </c>
      <c r="AX68">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69" spans="1:50" hidden="1">
      <c r="A69">
        <v>68</v>
      </c>
      <c r="B69" t="s">
        <v>144</v>
      </c>
      <c r="C69" s="10">
        <v>39113217</v>
      </c>
      <c r="D69" t="s">
        <v>128</v>
      </c>
      <c r="E69">
        <v>1</v>
      </c>
      <c r="F69">
        <v>0</v>
      </c>
      <c r="G69">
        <v>1</v>
      </c>
      <c r="H69">
        <v>1</v>
      </c>
      <c r="I69">
        <v>1</v>
      </c>
      <c r="J69">
        <v>1</v>
      </c>
      <c r="K69">
        <v>1</v>
      </c>
      <c r="L69">
        <v>1</v>
      </c>
      <c r="M69">
        <v>1</v>
      </c>
      <c r="N69">
        <v>1</v>
      </c>
      <c r="O69">
        <v>1</v>
      </c>
      <c r="P69">
        <v>1</v>
      </c>
      <c r="Q69">
        <v>1</v>
      </c>
      <c r="R69">
        <v>1</v>
      </c>
      <c r="S69">
        <v>0</v>
      </c>
      <c r="T69" t="s">
        <v>51</v>
      </c>
      <c r="U69" t="s">
        <v>51</v>
      </c>
      <c r="V69">
        <v>1</v>
      </c>
      <c r="W69">
        <v>1</v>
      </c>
      <c r="X69">
        <v>1</v>
      </c>
      <c r="Y69">
        <v>0</v>
      </c>
      <c r="Z69" t="s">
        <v>51</v>
      </c>
      <c r="AA69" t="s">
        <v>51</v>
      </c>
      <c r="AB69">
        <v>1</v>
      </c>
      <c r="AC69">
        <v>1</v>
      </c>
      <c r="AD69">
        <v>1</v>
      </c>
      <c r="AE69">
        <v>1</v>
      </c>
      <c r="AF69">
        <v>2</v>
      </c>
      <c r="AG69">
        <v>1</v>
      </c>
      <c r="AH69">
        <v>1</v>
      </c>
      <c r="AI69">
        <v>1</v>
      </c>
      <c r="AJ69">
        <v>1</v>
      </c>
      <c r="AK69">
        <v>1</v>
      </c>
      <c r="AL69">
        <v>1</v>
      </c>
      <c r="AM69">
        <v>1</v>
      </c>
      <c r="AN69">
        <v>1</v>
      </c>
      <c r="AO69">
        <v>2</v>
      </c>
      <c r="AP69">
        <v>1</v>
      </c>
      <c r="AQ69">
        <v>1</v>
      </c>
      <c r="AR69">
        <v>1</v>
      </c>
      <c r="AS69">
        <v>1</v>
      </c>
      <c r="AT69">
        <v>1</v>
      </c>
      <c r="AU69">
        <v>1</v>
      </c>
      <c r="AV69">
        <v>1</v>
      </c>
      <c r="AW69" t="s">
        <v>152</v>
      </c>
      <c r="AX69">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70" spans="1:50" hidden="1">
      <c r="A70">
        <v>69</v>
      </c>
      <c r="B70" t="s">
        <v>144</v>
      </c>
      <c r="C70" s="10">
        <v>38147971</v>
      </c>
      <c r="D70" t="s">
        <v>153</v>
      </c>
      <c r="E70">
        <v>1</v>
      </c>
      <c r="F70">
        <v>1</v>
      </c>
      <c r="G70">
        <v>1</v>
      </c>
      <c r="H70">
        <v>1</v>
      </c>
      <c r="I70">
        <v>1</v>
      </c>
      <c r="J70">
        <v>1</v>
      </c>
      <c r="K70">
        <v>1</v>
      </c>
      <c r="L70">
        <v>1</v>
      </c>
      <c r="M70">
        <v>1</v>
      </c>
      <c r="N70">
        <v>1</v>
      </c>
      <c r="O70">
        <v>1</v>
      </c>
      <c r="P70">
        <v>1</v>
      </c>
      <c r="Q70">
        <v>1</v>
      </c>
      <c r="R70">
        <v>1</v>
      </c>
      <c r="S70">
        <v>0</v>
      </c>
      <c r="T70" t="s">
        <v>51</v>
      </c>
      <c r="U70" t="s">
        <v>51</v>
      </c>
      <c r="V70">
        <v>1</v>
      </c>
      <c r="W70">
        <v>1</v>
      </c>
      <c r="X70">
        <v>1</v>
      </c>
      <c r="Y70">
        <v>1</v>
      </c>
      <c r="Z70">
        <v>1</v>
      </c>
      <c r="AA70">
        <v>1</v>
      </c>
      <c r="AB70">
        <v>1</v>
      </c>
      <c r="AC70">
        <v>1</v>
      </c>
      <c r="AD70">
        <v>1</v>
      </c>
      <c r="AE70">
        <v>1</v>
      </c>
      <c r="AF70">
        <v>1</v>
      </c>
      <c r="AG70">
        <v>1</v>
      </c>
      <c r="AH70">
        <v>1</v>
      </c>
      <c r="AI70">
        <v>1</v>
      </c>
      <c r="AJ70">
        <v>1</v>
      </c>
      <c r="AK70">
        <v>1</v>
      </c>
      <c r="AL70">
        <v>1</v>
      </c>
      <c r="AM70">
        <v>1</v>
      </c>
      <c r="AN70">
        <v>1</v>
      </c>
      <c r="AO70">
        <v>1</v>
      </c>
      <c r="AP70">
        <v>1</v>
      </c>
      <c r="AQ70">
        <v>1</v>
      </c>
      <c r="AR70">
        <v>1</v>
      </c>
      <c r="AS70">
        <v>1</v>
      </c>
      <c r="AT70">
        <v>1</v>
      </c>
      <c r="AU70">
        <v>1</v>
      </c>
      <c r="AV70">
        <v>1</v>
      </c>
      <c r="AW70" t="s">
        <v>154</v>
      </c>
      <c r="AX70">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71" spans="1:50" s="16" customFormat="1">
      <c r="A71" s="16">
        <v>70</v>
      </c>
      <c r="B71" s="16" t="s">
        <v>144</v>
      </c>
      <c r="C71" s="17">
        <v>39100321</v>
      </c>
      <c r="D71" s="16" t="s">
        <v>124</v>
      </c>
      <c r="E71" s="16">
        <v>1</v>
      </c>
      <c r="F71" s="16">
        <v>1</v>
      </c>
      <c r="G71" s="16">
        <v>1</v>
      </c>
      <c r="H71" s="16">
        <v>1</v>
      </c>
      <c r="I71" s="16">
        <v>3</v>
      </c>
      <c r="J71" s="16">
        <v>1</v>
      </c>
      <c r="K71" s="16">
        <v>1</v>
      </c>
      <c r="L71" s="16">
        <v>1</v>
      </c>
      <c r="M71" s="16">
        <v>1</v>
      </c>
      <c r="N71" s="16">
        <v>1</v>
      </c>
      <c r="O71" s="16">
        <v>1</v>
      </c>
      <c r="P71" s="16">
        <v>1</v>
      </c>
      <c r="Q71" s="16">
        <v>1</v>
      </c>
      <c r="R71" s="16">
        <v>1</v>
      </c>
      <c r="S71" s="16">
        <v>1</v>
      </c>
      <c r="T71" s="16">
        <v>1</v>
      </c>
      <c r="U71" s="16">
        <v>2</v>
      </c>
      <c r="V71" s="16">
        <v>1</v>
      </c>
      <c r="W71" s="16">
        <v>1</v>
      </c>
      <c r="X71" s="16">
        <v>1</v>
      </c>
      <c r="Y71" s="16">
        <v>1</v>
      </c>
      <c r="Z71" s="16">
        <v>1</v>
      </c>
      <c r="AA71" s="16">
        <v>1</v>
      </c>
      <c r="AB71" s="16">
        <v>1</v>
      </c>
      <c r="AC71" s="16">
        <v>1</v>
      </c>
      <c r="AD71" s="16">
        <v>3</v>
      </c>
      <c r="AE71" s="16">
        <v>1</v>
      </c>
      <c r="AF71" s="16">
        <v>1</v>
      </c>
      <c r="AG71" s="16">
        <v>1</v>
      </c>
      <c r="AH71" s="16">
        <v>1</v>
      </c>
      <c r="AI71" s="16">
        <v>1</v>
      </c>
      <c r="AJ71" s="16">
        <v>1</v>
      </c>
      <c r="AK71" s="16">
        <v>1</v>
      </c>
      <c r="AL71" s="16">
        <v>1</v>
      </c>
      <c r="AM71" s="16">
        <v>1</v>
      </c>
      <c r="AN71" s="16">
        <v>0</v>
      </c>
      <c r="AO71" s="16" t="s">
        <v>51</v>
      </c>
      <c r="AP71" s="16" t="s">
        <v>51</v>
      </c>
      <c r="AQ71" s="16">
        <v>1</v>
      </c>
      <c r="AR71" s="16">
        <v>1</v>
      </c>
      <c r="AS71" s="16">
        <v>1</v>
      </c>
      <c r="AT71" s="16">
        <v>1</v>
      </c>
      <c r="AU71" s="16">
        <v>1</v>
      </c>
      <c r="AV71" s="16">
        <v>1</v>
      </c>
      <c r="AW71" s="16" t="s">
        <v>155</v>
      </c>
      <c r="AX71" s="1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1</v>
      </c>
    </row>
    <row r="72" spans="1:50" hidden="1">
      <c r="A72">
        <v>71</v>
      </c>
      <c r="B72" t="s">
        <v>156</v>
      </c>
      <c r="C72" s="10">
        <v>39110084</v>
      </c>
      <c r="D72" t="s">
        <v>138</v>
      </c>
      <c r="E72">
        <v>1</v>
      </c>
      <c r="F72">
        <v>0</v>
      </c>
      <c r="G72">
        <v>1</v>
      </c>
      <c r="H72">
        <v>1</v>
      </c>
      <c r="I72">
        <v>1</v>
      </c>
      <c r="J72">
        <v>1</v>
      </c>
      <c r="K72">
        <v>1</v>
      </c>
      <c r="L72">
        <v>1</v>
      </c>
      <c r="M72">
        <v>1</v>
      </c>
      <c r="N72">
        <v>1</v>
      </c>
      <c r="O72">
        <v>1</v>
      </c>
      <c r="P72">
        <v>0</v>
      </c>
      <c r="Q72" t="s">
        <v>70</v>
      </c>
      <c r="R72" t="s">
        <v>70</v>
      </c>
      <c r="S72">
        <v>0</v>
      </c>
      <c r="T72" t="s">
        <v>70</v>
      </c>
      <c r="U72" t="s">
        <v>70</v>
      </c>
      <c r="V72">
        <v>0</v>
      </c>
      <c r="W72" t="s">
        <v>70</v>
      </c>
      <c r="X72" t="s">
        <v>70</v>
      </c>
      <c r="Y72">
        <v>1</v>
      </c>
      <c r="Z72">
        <v>1</v>
      </c>
      <c r="AA72">
        <v>1</v>
      </c>
      <c r="AB72">
        <v>1</v>
      </c>
      <c r="AC72">
        <v>2</v>
      </c>
      <c r="AD72">
        <v>1</v>
      </c>
      <c r="AE72">
        <v>1</v>
      </c>
      <c r="AF72">
        <v>1</v>
      </c>
      <c r="AG72">
        <v>1</v>
      </c>
      <c r="AH72">
        <v>1</v>
      </c>
      <c r="AI72">
        <v>1</v>
      </c>
      <c r="AJ72">
        <v>1</v>
      </c>
      <c r="AK72">
        <v>1</v>
      </c>
      <c r="AL72">
        <v>1</v>
      </c>
      <c r="AM72">
        <v>1</v>
      </c>
      <c r="AN72">
        <v>1</v>
      </c>
      <c r="AO72">
        <v>2</v>
      </c>
      <c r="AP72">
        <v>1</v>
      </c>
      <c r="AQ72">
        <v>1</v>
      </c>
      <c r="AR72">
        <v>1</v>
      </c>
      <c r="AS72">
        <v>1</v>
      </c>
      <c r="AT72">
        <v>1</v>
      </c>
      <c r="AU72">
        <v>1</v>
      </c>
      <c r="AV72">
        <v>1</v>
      </c>
      <c r="AX72">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73" spans="1:50" hidden="1">
      <c r="A73">
        <v>72</v>
      </c>
      <c r="B73" t="s">
        <v>156</v>
      </c>
      <c r="C73" s="10">
        <v>39107505</v>
      </c>
      <c r="D73" t="s">
        <v>157</v>
      </c>
      <c r="E73">
        <v>1</v>
      </c>
      <c r="F73">
        <v>0</v>
      </c>
      <c r="G73">
        <v>1</v>
      </c>
      <c r="H73">
        <v>1</v>
      </c>
      <c r="I73">
        <v>1</v>
      </c>
      <c r="J73">
        <v>1</v>
      </c>
      <c r="K73">
        <v>1</v>
      </c>
      <c r="L73">
        <v>1</v>
      </c>
      <c r="M73">
        <v>1</v>
      </c>
      <c r="N73">
        <v>1</v>
      </c>
      <c r="O73">
        <v>1</v>
      </c>
      <c r="P73">
        <v>1</v>
      </c>
      <c r="Q73">
        <v>1</v>
      </c>
      <c r="R73">
        <v>1</v>
      </c>
      <c r="S73">
        <v>1</v>
      </c>
      <c r="T73">
        <v>1</v>
      </c>
      <c r="U73">
        <v>1</v>
      </c>
      <c r="V73">
        <v>1</v>
      </c>
      <c r="W73">
        <v>2</v>
      </c>
      <c r="X73">
        <v>1</v>
      </c>
      <c r="Y73">
        <v>1</v>
      </c>
      <c r="Z73">
        <v>1</v>
      </c>
      <c r="AA73">
        <v>1</v>
      </c>
      <c r="AB73">
        <v>1</v>
      </c>
      <c r="AC73">
        <v>1</v>
      </c>
      <c r="AD73">
        <v>1</v>
      </c>
      <c r="AE73">
        <v>1</v>
      </c>
      <c r="AF73">
        <v>1</v>
      </c>
      <c r="AG73">
        <v>1</v>
      </c>
      <c r="AH73">
        <v>1</v>
      </c>
      <c r="AI73">
        <v>1</v>
      </c>
      <c r="AJ73">
        <v>1</v>
      </c>
      <c r="AK73">
        <v>1</v>
      </c>
      <c r="AL73">
        <v>1</v>
      </c>
      <c r="AM73">
        <v>1</v>
      </c>
      <c r="AN73">
        <v>1</v>
      </c>
      <c r="AO73">
        <v>2</v>
      </c>
      <c r="AP73">
        <v>1</v>
      </c>
      <c r="AQ73">
        <v>1</v>
      </c>
      <c r="AR73">
        <v>1</v>
      </c>
      <c r="AS73">
        <v>1</v>
      </c>
      <c r="AT73">
        <v>1</v>
      </c>
      <c r="AU73">
        <v>1</v>
      </c>
      <c r="AV73">
        <v>1</v>
      </c>
      <c r="AX73">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74" spans="1:50" hidden="1">
      <c r="A74">
        <v>73</v>
      </c>
      <c r="B74" t="s">
        <v>156</v>
      </c>
      <c r="C74" s="10">
        <v>39098607</v>
      </c>
      <c r="D74" t="s">
        <v>158</v>
      </c>
      <c r="E74">
        <v>1</v>
      </c>
      <c r="F74">
        <v>0</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c r="AD74">
        <v>1</v>
      </c>
      <c r="AE74">
        <v>1</v>
      </c>
      <c r="AF74">
        <v>1</v>
      </c>
      <c r="AG74">
        <v>1</v>
      </c>
      <c r="AH74">
        <v>1</v>
      </c>
      <c r="AI74">
        <v>1</v>
      </c>
      <c r="AJ74">
        <v>1</v>
      </c>
      <c r="AK74">
        <v>1</v>
      </c>
      <c r="AL74">
        <v>1</v>
      </c>
      <c r="AM74">
        <v>1</v>
      </c>
      <c r="AN74">
        <v>1</v>
      </c>
      <c r="AO74">
        <v>2</v>
      </c>
      <c r="AP74">
        <v>1</v>
      </c>
      <c r="AQ74">
        <v>1</v>
      </c>
      <c r="AR74">
        <v>1</v>
      </c>
      <c r="AS74">
        <v>1</v>
      </c>
      <c r="AT74">
        <v>1</v>
      </c>
      <c r="AU74">
        <v>1</v>
      </c>
      <c r="AV74">
        <v>1</v>
      </c>
      <c r="AX74">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75" spans="1:50" hidden="1">
      <c r="A75">
        <v>74</v>
      </c>
      <c r="B75" t="s">
        <v>156</v>
      </c>
      <c r="C75" s="10">
        <v>39096515</v>
      </c>
      <c r="D75" t="s">
        <v>57</v>
      </c>
      <c r="E75">
        <v>2</v>
      </c>
      <c r="F75">
        <v>0</v>
      </c>
      <c r="G75">
        <v>1</v>
      </c>
      <c r="H75">
        <v>1</v>
      </c>
      <c r="I75">
        <v>1</v>
      </c>
      <c r="J75">
        <v>1</v>
      </c>
      <c r="K75">
        <v>1</v>
      </c>
      <c r="L75">
        <v>1</v>
      </c>
      <c r="M75">
        <v>1</v>
      </c>
      <c r="N75">
        <v>1</v>
      </c>
      <c r="O75">
        <v>1</v>
      </c>
      <c r="P75">
        <v>1</v>
      </c>
      <c r="Q75">
        <v>1</v>
      </c>
      <c r="R75">
        <v>1</v>
      </c>
      <c r="S75">
        <v>1</v>
      </c>
      <c r="T75">
        <v>1</v>
      </c>
      <c r="U75">
        <v>1</v>
      </c>
      <c r="V75">
        <v>1</v>
      </c>
      <c r="W75">
        <v>1</v>
      </c>
      <c r="X75">
        <v>1</v>
      </c>
      <c r="Y75">
        <v>1</v>
      </c>
      <c r="Z75">
        <v>1</v>
      </c>
      <c r="AA75">
        <v>1</v>
      </c>
      <c r="AB75">
        <v>1</v>
      </c>
      <c r="AC75">
        <v>1</v>
      </c>
      <c r="AD75">
        <v>1</v>
      </c>
      <c r="AE75">
        <v>1</v>
      </c>
      <c r="AF75">
        <v>2</v>
      </c>
      <c r="AG75">
        <v>1</v>
      </c>
      <c r="AH75">
        <v>1</v>
      </c>
      <c r="AI75">
        <v>1</v>
      </c>
      <c r="AJ75">
        <v>1</v>
      </c>
      <c r="AK75">
        <v>1</v>
      </c>
      <c r="AL75">
        <v>1</v>
      </c>
      <c r="AM75">
        <v>1</v>
      </c>
      <c r="AN75">
        <v>0</v>
      </c>
      <c r="AO75" t="s">
        <v>70</v>
      </c>
      <c r="AP75" t="s">
        <v>70</v>
      </c>
      <c r="AQ75">
        <v>1</v>
      </c>
      <c r="AR75">
        <v>1</v>
      </c>
      <c r="AS75">
        <v>1</v>
      </c>
      <c r="AT75">
        <v>1</v>
      </c>
      <c r="AU75">
        <v>1</v>
      </c>
      <c r="AV75">
        <v>1</v>
      </c>
      <c r="AX75">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76" spans="1:50" hidden="1">
      <c r="A76">
        <v>75</v>
      </c>
      <c r="B76" t="s">
        <v>156</v>
      </c>
      <c r="C76" s="10">
        <v>39092604</v>
      </c>
      <c r="D76" t="s">
        <v>147</v>
      </c>
      <c r="E76">
        <v>1</v>
      </c>
      <c r="F76">
        <v>1</v>
      </c>
      <c r="G76">
        <v>1</v>
      </c>
      <c r="H76">
        <v>1</v>
      </c>
      <c r="I76">
        <v>1</v>
      </c>
      <c r="J76">
        <v>1</v>
      </c>
      <c r="K76">
        <v>1</v>
      </c>
      <c r="L76">
        <v>1</v>
      </c>
      <c r="M76">
        <v>1</v>
      </c>
      <c r="N76">
        <v>1</v>
      </c>
      <c r="O76">
        <v>1</v>
      </c>
      <c r="P76">
        <v>0</v>
      </c>
      <c r="Q76" t="s">
        <v>70</v>
      </c>
      <c r="R76" t="s">
        <v>70</v>
      </c>
      <c r="S76">
        <v>1</v>
      </c>
      <c r="T76">
        <v>1</v>
      </c>
      <c r="U76">
        <v>1</v>
      </c>
      <c r="V76">
        <v>1</v>
      </c>
      <c r="W76">
        <v>1</v>
      </c>
      <c r="X76">
        <v>1</v>
      </c>
      <c r="Y76">
        <v>1</v>
      </c>
      <c r="Z76">
        <v>1</v>
      </c>
      <c r="AA76">
        <v>1</v>
      </c>
      <c r="AB76">
        <v>1</v>
      </c>
      <c r="AC76">
        <v>1</v>
      </c>
      <c r="AD76">
        <v>1</v>
      </c>
      <c r="AE76">
        <v>1</v>
      </c>
      <c r="AF76">
        <v>1</v>
      </c>
      <c r="AG76">
        <v>1</v>
      </c>
      <c r="AH76">
        <v>1</v>
      </c>
      <c r="AI76">
        <v>1</v>
      </c>
      <c r="AJ76">
        <v>1</v>
      </c>
      <c r="AK76">
        <v>1</v>
      </c>
      <c r="AL76">
        <v>1</v>
      </c>
      <c r="AM76">
        <v>1</v>
      </c>
      <c r="AN76">
        <v>0</v>
      </c>
      <c r="AO76" t="s">
        <v>70</v>
      </c>
      <c r="AP76" t="s">
        <v>70</v>
      </c>
      <c r="AQ76">
        <v>1</v>
      </c>
      <c r="AR76">
        <v>1</v>
      </c>
      <c r="AS76">
        <v>1</v>
      </c>
      <c r="AT76">
        <v>1</v>
      </c>
      <c r="AU76">
        <v>1</v>
      </c>
      <c r="AV76">
        <v>1</v>
      </c>
      <c r="AX7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77" spans="1:50" hidden="1">
      <c r="A77">
        <v>76</v>
      </c>
      <c r="B77" t="s">
        <v>156</v>
      </c>
      <c r="C77" s="10">
        <v>39098583</v>
      </c>
      <c r="D77" t="s">
        <v>159</v>
      </c>
      <c r="E77">
        <v>2</v>
      </c>
      <c r="F77">
        <v>0</v>
      </c>
      <c r="G77">
        <v>1</v>
      </c>
      <c r="H77">
        <v>1</v>
      </c>
      <c r="I77">
        <v>1</v>
      </c>
      <c r="J77">
        <v>1</v>
      </c>
      <c r="K77">
        <v>1</v>
      </c>
      <c r="L77">
        <v>1</v>
      </c>
      <c r="M77">
        <v>1</v>
      </c>
      <c r="N77">
        <v>1</v>
      </c>
      <c r="O77">
        <v>1</v>
      </c>
      <c r="P77">
        <v>1</v>
      </c>
      <c r="Q77">
        <v>1</v>
      </c>
      <c r="R77">
        <v>1</v>
      </c>
      <c r="S77">
        <v>1</v>
      </c>
      <c r="T77">
        <v>1</v>
      </c>
      <c r="U77">
        <v>1</v>
      </c>
      <c r="V77">
        <v>1</v>
      </c>
      <c r="W77">
        <v>1</v>
      </c>
      <c r="X77">
        <v>1</v>
      </c>
      <c r="Y77">
        <v>0</v>
      </c>
      <c r="Z77" t="s">
        <v>51</v>
      </c>
      <c r="AA77" t="s">
        <v>51</v>
      </c>
      <c r="AB77">
        <v>1</v>
      </c>
      <c r="AC77">
        <v>1</v>
      </c>
      <c r="AD77">
        <v>1</v>
      </c>
      <c r="AE77">
        <v>1</v>
      </c>
      <c r="AF77">
        <v>1</v>
      </c>
      <c r="AG77">
        <v>1</v>
      </c>
      <c r="AH77">
        <v>1</v>
      </c>
      <c r="AI77">
        <v>1</v>
      </c>
      <c r="AJ77">
        <v>1</v>
      </c>
      <c r="AK77">
        <v>1</v>
      </c>
      <c r="AL77">
        <v>1</v>
      </c>
      <c r="AM77">
        <v>1</v>
      </c>
      <c r="AN77">
        <v>0</v>
      </c>
      <c r="AO77" t="s">
        <v>70</v>
      </c>
      <c r="AP77" t="s">
        <v>70</v>
      </c>
      <c r="AQ77">
        <v>1</v>
      </c>
      <c r="AR77">
        <v>1</v>
      </c>
      <c r="AS77">
        <v>1</v>
      </c>
      <c r="AT77">
        <v>1</v>
      </c>
      <c r="AU77">
        <v>1</v>
      </c>
      <c r="AV77">
        <v>1</v>
      </c>
      <c r="AX77">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78" spans="1:50" hidden="1">
      <c r="A78">
        <v>77</v>
      </c>
      <c r="B78" t="s">
        <v>156</v>
      </c>
      <c r="C78" s="10">
        <v>39099936</v>
      </c>
      <c r="D78" t="s">
        <v>160</v>
      </c>
      <c r="E78">
        <v>2</v>
      </c>
      <c r="F78">
        <v>0</v>
      </c>
      <c r="G78">
        <v>0</v>
      </c>
      <c r="H78" t="s">
        <v>70</v>
      </c>
      <c r="I78" t="s">
        <v>70</v>
      </c>
      <c r="J78">
        <v>1</v>
      </c>
      <c r="K78">
        <v>1</v>
      </c>
      <c r="L78">
        <v>1</v>
      </c>
      <c r="M78">
        <v>1</v>
      </c>
      <c r="N78">
        <v>1</v>
      </c>
      <c r="O78">
        <v>1</v>
      </c>
      <c r="P78">
        <v>1</v>
      </c>
      <c r="Q78">
        <v>1</v>
      </c>
      <c r="R78">
        <v>1</v>
      </c>
      <c r="S78">
        <v>0</v>
      </c>
      <c r="T78" t="s">
        <v>70</v>
      </c>
      <c r="U78" t="s">
        <v>70</v>
      </c>
      <c r="V78">
        <v>0</v>
      </c>
      <c r="W78" t="s">
        <v>70</v>
      </c>
      <c r="X78" t="s">
        <v>70</v>
      </c>
      <c r="Y78">
        <v>1</v>
      </c>
      <c r="Z78">
        <v>1</v>
      </c>
      <c r="AA78">
        <v>1</v>
      </c>
      <c r="AB78">
        <v>1</v>
      </c>
      <c r="AC78">
        <v>1</v>
      </c>
      <c r="AD78">
        <v>1</v>
      </c>
      <c r="AE78">
        <v>0</v>
      </c>
      <c r="AF78" t="s">
        <v>70</v>
      </c>
      <c r="AG78" t="s">
        <v>70</v>
      </c>
      <c r="AH78">
        <v>1</v>
      </c>
      <c r="AI78">
        <v>1</v>
      </c>
      <c r="AJ78">
        <v>1</v>
      </c>
      <c r="AK78">
        <v>1</v>
      </c>
      <c r="AL78">
        <v>1</v>
      </c>
      <c r="AM78">
        <v>1</v>
      </c>
      <c r="AN78">
        <v>0</v>
      </c>
      <c r="AO78" t="s">
        <v>70</v>
      </c>
      <c r="AP78" t="s">
        <v>70</v>
      </c>
      <c r="AQ78">
        <v>1</v>
      </c>
      <c r="AR78">
        <v>1</v>
      </c>
      <c r="AS78">
        <v>1</v>
      </c>
      <c r="AT78">
        <v>1</v>
      </c>
      <c r="AU78">
        <v>1</v>
      </c>
      <c r="AV78">
        <v>1</v>
      </c>
      <c r="AX78">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79" spans="1:50" hidden="1">
      <c r="A79">
        <v>78</v>
      </c>
      <c r="B79" t="s">
        <v>156</v>
      </c>
      <c r="C79" s="10">
        <v>39100680</v>
      </c>
      <c r="D79" t="s">
        <v>73</v>
      </c>
      <c r="E79">
        <v>2</v>
      </c>
      <c r="F79">
        <v>0</v>
      </c>
      <c r="G79">
        <v>1</v>
      </c>
      <c r="H79">
        <v>1</v>
      </c>
      <c r="I79">
        <v>1</v>
      </c>
      <c r="J79">
        <v>1</v>
      </c>
      <c r="K79">
        <v>1</v>
      </c>
      <c r="L79">
        <v>1</v>
      </c>
      <c r="M79">
        <v>1</v>
      </c>
      <c r="N79">
        <v>1</v>
      </c>
      <c r="O79">
        <v>1</v>
      </c>
      <c r="P79">
        <v>1</v>
      </c>
      <c r="Q79">
        <v>1</v>
      </c>
      <c r="R79">
        <v>1</v>
      </c>
      <c r="S79">
        <v>0</v>
      </c>
      <c r="T79" t="s">
        <v>70</v>
      </c>
      <c r="U79" t="s">
        <v>70</v>
      </c>
      <c r="V79">
        <v>0</v>
      </c>
      <c r="W79" t="s">
        <v>70</v>
      </c>
      <c r="X79" t="s">
        <v>70</v>
      </c>
      <c r="Y79">
        <v>1</v>
      </c>
      <c r="Z79">
        <v>1</v>
      </c>
      <c r="AA79">
        <v>1</v>
      </c>
      <c r="AB79">
        <v>1</v>
      </c>
      <c r="AC79">
        <v>1</v>
      </c>
      <c r="AD79">
        <v>1</v>
      </c>
      <c r="AE79">
        <v>0</v>
      </c>
      <c r="AF79" t="s">
        <v>70</v>
      </c>
      <c r="AG79" t="s">
        <v>70</v>
      </c>
      <c r="AH79">
        <v>1</v>
      </c>
      <c r="AI79">
        <v>1</v>
      </c>
      <c r="AJ79">
        <v>1</v>
      </c>
      <c r="AK79">
        <v>1</v>
      </c>
      <c r="AL79">
        <v>1</v>
      </c>
      <c r="AM79">
        <v>1</v>
      </c>
      <c r="AN79">
        <v>0</v>
      </c>
      <c r="AO79" t="s">
        <v>70</v>
      </c>
      <c r="AP79" t="s">
        <v>70</v>
      </c>
      <c r="AQ79">
        <v>1</v>
      </c>
      <c r="AR79">
        <v>1</v>
      </c>
      <c r="AS79">
        <v>1</v>
      </c>
      <c r="AT79">
        <v>1</v>
      </c>
      <c r="AU79">
        <v>1</v>
      </c>
      <c r="AV79">
        <v>1</v>
      </c>
      <c r="AX79">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80" spans="1:50" hidden="1">
      <c r="A80">
        <v>79</v>
      </c>
      <c r="B80" t="s">
        <v>156</v>
      </c>
      <c r="C80" s="10">
        <v>39103400</v>
      </c>
      <c r="D80" t="s">
        <v>124</v>
      </c>
      <c r="E80">
        <v>1</v>
      </c>
      <c r="F80">
        <v>0</v>
      </c>
      <c r="G80">
        <v>1</v>
      </c>
      <c r="H80">
        <v>1</v>
      </c>
      <c r="I80">
        <v>2</v>
      </c>
      <c r="J80">
        <v>1</v>
      </c>
      <c r="K80">
        <v>1</v>
      </c>
      <c r="L80">
        <v>1</v>
      </c>
      <c r="M80">
        <v>1</v>
      </c>
      <c r="N80">
        <v>1</v>
      </c>
      <c r="O80">
        <v>2</v>
      </c>
      <c r="P80">
        <v>1</v>
      </c>
      <c r="Q80">
        <v>1</v>
      </c>
      <c r="R80">
        <v>1</v>
      </c>
      <c r="S80">
        <v>0</v>
      </c>
      <c r="T80" t="s">
        <v>70</v>
      </c>
      <c r="U80" t="s">
        <v>70</v>
      </c>
      <c r="V80">
        <v>0</v>
      </c>
      <c r="W80" t="s">
        <v>70</v>
      </c>
      <c r="X80" t="s">
        <v>70</v>
      </c>
      <c r="Y80">
        <v>1</v>
      </c>
      <c r="Z80">
        <v>1</v>
      </c>
      <c r="AA80">
        <v>1</v>
      </c>
      <c r="AB80">
        <v>1</v>
      </c>
      <c r="AC80">
        <v>1</v>
      </c>
      <c r="AD80">
        <v>1</v>
      </c>
      <c r="AE80">
        <v>0</v>
      </c>
      <c r="AF80" t="s">
        <v>70</v>
      </c>
      <c r="AG80" t="s">
        <v>70</v>
      </c>
      <c r="AH80">
        <v>1</v>
      </c>
      <c r="AI80">
        <v>1</v>
      </c>
      <c r="AJ80">
        <v>1</v>
      </c>
      <c r="AK80">
        <v>1</v>
      </c>
      <c r="AL80">
        <v>1</v>
      </c>
      <c r="AM80">
        <v>1</v>
      </c>
      <c r="AN80">
        <v>1</v>
      </c>
      <c r="AO80">
        <v>1</v>
      </c>
      <c r="AP80">
        <v>1</v>
      </c>
      <c r="AQ80">
        <v>1</v>
      </c>
      <c r="AR80">
        <v>1</v>
      </c>
      <c r="AS80">
        <v>1</v>
      </c>
      <c r="AT80">
        <v>1</v>
      </c>
      <c r="AU80">
        <v>1</v>
      </c>
      <c r="AV80">
        <v>1</v>
      </c>
      <c r="AW80" t="s">
        <v>161</v>
      </c>
      <c r="AX80">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81" spans="1:50" hidden="1">
      <c r="A81">
        <v>80</v>
      </c>
      <c r="B81" t="s">
        <v>156</v>
      </c>
      <c r="C81" s="10">
        <v>35151634</v>
      </c>
      <c r="D81" t="s">
        <v>162</v>
      </c>
      <c r="E81">
        <v>1</v>
      </c>
      <c r="F81">
        <v>1</v>
      </c>
      <c r="G81">
        <v>1</v>
      </c>
      <c r="H81">
        <v>1</v>
      </c>
      <c r="I81">
        <v>1</v>
      </c>
      <c r="J81">
        <v>1</v>
      </c>
      <c r="K81">
        <v>1</v>
      </c>
      <c r="L81">
        <v>1</v>
      </c>
      <c r="M81">
        <v>1</v>
      </c>
      <c r="N81">
        <v>1</v>
      </c>
      <c r="O81">
        <v>1</v>
      </c>
      <c r="P81">
        <v>1</v>
      </c>
      <c r="Q81">
        <v>1</v>
      </c>
      <c r="R81">
        <v>1</v>
      </c>
      <c r="S81">
        <v>0</v>
      </c>
      <c r="T81" t="s">
        <v>70</v>
      </c>
      <c r="U81" t="s">
        <v>70</v>
      </c>
      <c r="V81">
        <v>0</v>
      </c>
      <c r="W81" t="s">
        <v>70</v>
      </c>
      <c r="X81" t="s">
        <v>70</v>
      </c>
      <c r="Y81">
        <v>1</v>
      </c>
      <c r="Z81">
        <v>2</v>
      </c>
      <c r="AA81">
        <v>1</v>
      </c>
      <c r="AB81">
        <v>1</v>
      </c>
      <c r="AC81">
        <v>1</v>
      </c>
      <c r="AD81">
        <v>1</v>
      </c>
      <c r="AE81">
        <v>0</v>
      </c>
      <c r="AF81" t="s">
        <v>70</v>
      </c>
      <c r="AG81" t="s">
        <v>70</v>
      </c>
      <c r="AH81">
        <v>1</v>
      </c>
      <c r="AI81">
        <v>1</v>
      </c>
      <c r="AJ81">
        <v>1</v>
      </c>
      <c r="AK81">
        <v>1</v>
      </c>
      <c r="AL81">
        <v>1</v>
      </c>
      <c r="AM81">
        <v>1</v>
      </c>
      <c r="AN81">
        <v>1</v>
      </c>
      <c r="AO81">
        <v>2</v>
      </c>
      <c r="AP81">
        <v>1</v>
      </c>
      <c r="AQ81">
        <v>1</v>
      </c>
      <c r="AR81">
        <v>1</v>
      </c>
      <c r="AS81">
        <v>1</v>
      </c>
      <c r="AT81">
        <v>1</v>
      </c>
      <c r="AU81">
        <v>1</v>
      </c>
      <c r="AV81">
        <v>1</v>
      </c>
      <c r="AX81">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82" spans="1:50" hidden="1">
      <c r="A82">
        <v>81</v>
      </c>
      <c r="B82" t="s">
        <v>163</v>
      </c>
      <c r="C82" s="10">
        <v>35382686</v>
      </c>
      <c r="D82" t="s">
        <v>164</v>
      </c>
      <c r="E82">
        <v>2</v>
      </c>
      <c r="F82">
        <v>0</v>
      </c>
      <c r="G82">
        <v>1</v>
      </c>
      <c r="H82">
        <v>1</v>
      </c>
      <c r="I82">
        <v>1</v>
      </c>
      <c r="J82">
        <v>1</v>
      </c>
      <c r="K82">
        <v>1</v>
      </c>
      <c r="L82">
        <v>1</v>
      </c>
      <c r="M82">
        <v>1</v>
      </c>
      <c r="N82">
        <v>1</v>
      </c>
      <c r="O82">
        <v>1</v>
      </c>
      <c r="P82">
        <v>1</v>
      </c>
      <c r="Q82">
        <v>1</v>
      </c>
      <c r="R82">
        <v>1</v>
      </c>
      <c r="S82">
        <v>0</v>
      </c>
      <c r="T82" t="s">
        <v>70</v>
      </c>
      <c r="U82" t="s">
        <v>70</v>
      </c>
      <c r="V82">
        <v>0</v>
      </c>
      <c r="W82" t="s">
        <v>70</v>
      </c>
      <c r="X82" t="s">
        <v>70</v>
      </c>
      <c r="Y82">
        <v>1</v>
      </c>
      <c r="Z82">
        <v>1</v>
      </c>
      <c r="AA82">
        <v>1</v>
      </c>
      <c r="AB82">
        <v>1</v>
      </c>
      <c r="AC82">
        <v>1</v>
      </c>
      <c r="AD82">
        <v>1</v>
      </c>
      <c r="AE82">
        <v>0</v>
      </c>
      <c r="AF82" t="s">
        <v>70</v>
      </c>
      <c r="AG82" t="s">
        <v>70</v>
      </c>
      <c r="AH82">
        <v>1</v>
      </c>
      <c r="AI82">
        <v>1</v>
      </c>
      <c r="AJ82">
        <v>1</v>
      </c>
      <c r="AK82">
        <v>1</v>
      </c>
      <c r="AL82">
        <v>1</v>
      </c>
      <c r="AM82">
        <v>1</v>
      </c>
      <c r="AN82">
        <v>0</v>
      </c>
      <c r="AO82" t="s">
        <v>70</v>
      </c>
      <c r="AP82" t="s">
        <v>70</v>
      </c>
      <c r="AQ82">
        <v>1</v>
      </c>
      <c r="AR82">
        <v>1</v>
      </c>
      <c r="AS82">
        <v>1</v>
      </c>
      <c r="AT82">
        <v>1</v>
      </c>
      <c r="AU82">
        <v>1</v>
      </c>
      <c r="AV82">
        <v>1</v>
      </c>
      <c r="AX82">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83" spans="1:50" hidden="1">
      <c r="A83">
        <v>82</v>
      </c>
      <c r="B83" t="s">
        <v>163</v>
      </c>
      <c r="C83" s="10">
        <v>39099980</v>
      </c>
      <c r="D83" t="s">
        <v>165</v>
      </c>
      <c r="E83">
        <v>1</v>
      </c>
      <c r="F83">
        <v>0</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c r="AD83">
        <v>1</v>
      </c>
      <c r="AE83">
        <v>1</v>
      </c>
      <c r="AF83">
        <v>2</v>
      </c>
      <c r="AG83">
        <v>1</v>
      </c>
      <c r="AH83">
        <v>1</v>
      </c>
      <c r="AI83">
        <v>1</v>
      </c>
      <c r="AJ83">
        <v>1</v>
      </c>
      <c r="AK83">
        <v>1</v>
      </c>
      <c r="AL83">
        <v>1</v>
      </c>
      <c r="AM83">
        <v>1</v>
      </c>
      <c r="AN83">
        <v>1</v>
      </c>
      <c r="AO83">
        <v>2</v>
      </c>
      <c r="AP83">
        <v>1</v>
      </c>
      <c r="AQ83">
        <v>1</v>
      </c>
      <c r="AR83">
        <v>1</v>
      </c>
      <c r="AS83">
        <v>1</v>
      </c>
      <c r="AT83">
        <v>1</v>
      </c>
      <c r="AU83">
        <v>1</v>
      </c>
      <c r="AV83">
        <v>1</v>
      </c>
      <c r="AX83">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84" spans="1:50" hidden="1">
      <c r="A84">
        <v>83</v>
      </c>
      <c r="B84" t="s">
        <v>163</v>
      </c>
      <c r="C84" s="10">
        <v>38239329</v>
      </c>
      <c r="D84" t="s">
        <v>166</v>
      </c>
      <c r="E84">
        <v>1</v>
      </c>
      <c r="F84">
        <v>0</v>
      </c>
      <c r="G84">
        <v>1</v>
      </c>
      <c r="H84">
        <v>1</v>
      </c>
      <c r="I84">
        <v>2</v>
      </c>
      <c r="J84">
        <v>1</v>
      </c>
      <c r="K84">
        <v>1</v>
      </c>
      <c r="L84">
        <v>1</v>
      </c>
      <c r="M84">
        <v>1</v>
      </c>
      <c r="N84">
        <v>1</v>
      </c>
      <c r="O84">
        <v>2</v>
      </c>
      <c r="P84">
        <v>1</v>
      </c>
      <c r="Q84">
        <v>1</v>
      </c>
      <c r="R84">
        <v>1</v>
      </c>
      <c r="S84">
        <v>0</v>
      </c>
      <c r="T84" t="s">
        <v>70</v>
      </c>
      <c r="U84" t="s">
        <v>70</v>
      </c>
      <c r="V84">
        <v>0</v>
      </c>
      <c r="W84" t="s">
        <v>70</v>
      </c>
      <c r="X84" t="s">
        <v>70</v>
      </c>
      <c r="Y84">
        <v>1</v>
      </c>
      <c r="Z84">
        <v>1</v>
      </c>
      <c r="AA84">
        <v>2</v>
      </c>
      <c r="AB84">
        <v>1</v>
      </c>
      <c r="AC84">
        <v>1</v>
      </c>
      <c r="AD84">
        <v>1</v>
      </c>
      <c r="AE84">
        <v>0</v>
      </c>
      <c r="AF84" t="s">
        <v>70</v>
      </c>
      <c r="AG84" t="s">
        <v>70</v>
      </c>
      <c r="AH84">
        <v>1</v>
      </c>
      <c r="AI84">
        <v>1</v>
      </c>
      <c r="AJ84">
        <v>1</v>
      </c>
      <c r="AK84">
        <v>1</v>
      </c>
      <c r="AL84">
        <v>1</v>
      </c>
      <c r="AM84">
        <v>1</v>
      </c>
      <c r="AN84">
        <v>1</v>
      </c>
      <c r="AO84">
        <v>2</v>
      </c>
      <c r="AP84">
        <v>1</v>
      </c>
      <c r="AQ84">
        <v>1</v>
      </c>
      <c r="AR84">
        <v>1</v>
      </c>
      <c r="AS84">
        <v>1</v>
      </c>
      <c r="AT84">
        <v>1</v>
      </c>
      <c r="AU84">
        <v>1</v>
      </c>
      <c r="AV84">
        <v>2</v>
      </c>
      <c r="AW84" t="s">
        <v>167</v>
      </c>
      <c r="AX84">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85" spans="1:50" hidden="1">
      <c r="A85">
        <v>84</v>
      </c>
      <c r="B85" t="s">
        <v>163</v>
      </c>
      <c r="C85" s="10">
        <v>39102534</v>
      </c>
      <c r="D85" t="s">
        <v>110</v>
      </c>
      <c r="E85">
        <v>1</v>
      </c>
      <c r="F85">
        <v>0</v>
      </c>
      <c r="G85">
        <v>1</v>
      </c>
      <c r="H85">
        <v>1</v>
      </c>
      <c r="I85">
        <v>1</v>
      </c>
      <c r="J85">
        <v>1</v>
      </c>
      <c r="K85">
        <v>1</v>
      </c>
      <c r="L85">
        <v>1</v>
      </c>
      <c r="M85">
        <v>1</v>
      </c>
      <c r="N85">
        <v>1</v>
      </c>
      <c r="O85">
        <v>1</v>
      </c>
      <c r="P85">
        <v>0</v>
      </c>
      <c r="Q85" t="s">
        <v>70</v>
      </c>
      <c r="R85" t="s">
        <v>70</v>
      </c>
      <c r="S85">
        <v>0</v>
      </c>
      <c r="T85" t="s">
        <v>70</v>
      </c>
      <c r="U85" t="s">
        <v>70</v>
      </c>
      <c r="V85">
        <v>0</v>
      </c>
      <c r="W85" t="s">
        <v>70</v>
      </c>
      <c r="X85" t="s">
        <v>70</v>
      </c>
      <c r="Y85">
        <v>1</v>
      </c>
      <c r="Z85">
        <v>1</v>
      </c>
      <c r="AA85">
        <v>1</v>
      </c>
      <c r="AB85">
        <v>1</v>
      </c>
      <c r="AC85">
        <v>1</v>
      </c>
      <c r="AD85">
        <v>1</v>
      </c>
      <c r="AE85">
        <v>1</v>
      </c>
      <c r="AF85">
        <v>1</v>
      </c>
      <c r="AG85">
        <v>1</v>
      </c>
      <c r="AH85">
        <v>1</v>
      </c>
      <c r="AI85">
        <v>1</v>
      </c>
      <c r="AJ85">
        <v>1</v>
      </c>
      <c r="AK85">
        <v>1</v>
      </c>
      <c r="AL85">
        <v>1</v>
      </c>
      <c r="AM85">
        <v>1</v>
      </c>
      <c r="AN85">
        <v>0</v>
      </c>
      <c r="AO85" t="s">
        <v>70</v>
      </c>
      <c r="AP85" t="s">
        <v>70</v>
      </c>
      <c r="AQ85">
        <v>1</v>
      </c>
      <c r="AR85">
        <v>1</v>
      </c>
      <c r="AS85">
        <v>1</v>
      </c>
      <c r="AT85">
        <v>1</v>
      </c>
      <c r="AU85">
        <v>1</v>
      </c>
      <c r="AV85">
        <v>1</v>
      </c>
      <c r="AW85" t="s">
        <v>168</v>
      </c>
      <c r="AX85">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86" spans="1:50" hidden="1">
      <c r="A86">
        <v>85</v>
      </c>
      <c r="B86" t="s">
        <v>163</v>
      </c>
      <c r="C86" s="10">
        <v>39105595</v>
      </c>
      <c r="D86" t="s">
        <v>169</v>
      </c>
      <c r="E86">
        <v>1</v>
      </c>
      <c r="F86">
        <v>0</v>
      </c>
      <c r="G86">
        <v>1</v>
      </c>
      <c r="H86">
        <v>1</v>
      </c>
      <c r="I86">
        <v>1</v>
      </c>
      <c r="J86">
        <v>1</v>
      </c>
      <c r="K86">
        <v>1</v>
      </c>
      <c r="L86">
        <v>1</v>
      </c>
      <c r="M86">
        <v>1</v>
      </c>
      <c r="N86">
        <v>1</v>
      </c>
      <c r="O86">
        <v>1</v>
      </c>
      <c r="P86">
        <v>1</v>
      </c>
      <c r="Q86">
        <v>1</v>
      </c>
      <c r="R86">
        <v>1</v>
      </c>
      <c r="S86">
        <v>0</v>
      </c>
      <c r="T86" t="s">
        <v>70</v>
      </c>
      <c r="U86" t="s">
        <v>70</v>
      </c>
      <c r="V86">
        <v>0</v>
      </c>
      <c r="W86" t="s">
        <v>70</v>
      </c>
      <c r="X86" t="s">
        <v>70</v>
      </c>
      <c r="Y86">
        <v>1</v>
      </c>
      <c r="Z86">
        <v>1</v>
      </c>
      <c r="AA86">
        <v>1</v>
      </c>
      <c r="AB86">
        <v>1</v>
      </c>
      <c r="AC86">
        <v>1</v>
      </c>
      <c r="AD86">
        <v>1</v>
      </c>
      <c r="AE86">
        <v>1</v>
      </c>
      <c r="AF86">
        <v>1</v>
      </c>
      <c r="AG86">
        <v>1</v>
      </c>
      <c r="AH86">
        <v>1</v>
      </c>
      <c r="AI86">
        <v>1</v>
      </c>
      <c r="AJ86">
        <v>1</v>
      </c>
      <c r="AK86">
        <v>1</v>
      </c>
      <c r="AL86">
        <v>1</v>
      </c>
      <c r="AM86">
        <v>1</v>
      </c>
      <c r="AN86">
        <v>1</v>
      </c>
      <c r="AO86">
        <v>2</v>
      </c>
      <c r="AP86">
        <v>1</v>
      </c>
      <c r="AQ86">
        <v>1</v>
      </c>
      <c r="AR86">
        <v>1</v>
      </c>
      <c r="AS86">
        <v>1</v>
      </c>
      <c r="AT86">
        <v>1</v>
      </c>
      <c r="AU86">
        <v>1</v>
      </c>
      <c r="AV86">
        <v>1</v>
      </c>
      <c r="AX8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87" spans="1:50" hidden="1">
      <c r="A87">
        <v>86</v>
      </c>
      <c r="B87" t="s">
        <v>163</v>
      </c>
      <c r="C87" s="10">
        <v>39104249</v>
      </c>
      <c r="D87" t="s">
        <v>170</v>
      </c>
      <c r="E87">
        <v>2</v>
      </c>
      <c r="F87">
        <v>0</v>
      </c>
      <c r="G87">
        <v>0</v>
      </c>
      <c r="H87" t="s">
        <v>70</v>
      </c>
      <c r="I87" t="s">
        <v>70</v>
      </c>
      <c r="J87">
        <v>1</v>
      </c>
      <c r="K87">
        <v>1</v>
      </c>
      <c r="L87">
        <v>1</v>
      </c>
      <c r="M87">
        <v>1</v>
      </c>
      <c r="N87">
        <v>1</v>
      </c>
      <c r="O87">
        <v>1</v>
      </c>
      <c r="P87">
        <v>0</v>
      </c>
      <c r="Q87" t="s">
        <v>70</v>
      </c>
      <c r="R87" t="s">
        <v>70</v>
      </c>
      <c r="S87">
        <v>1</v>
      </c>
      <c r="T87">
        <v>1</v>
      </c>
      <c r="U87">
        <v>1</v>
      </c>
      <c r="V87">
        <v>1</v>
      </c>
      <c r="W87">
        <v>1</v>
      </c>
      <c r="X87">
        <v>1</v>
      </c>
      <c r="Y87">
        <v>1</v>
      </c>
      <c r="Z87">
        <v>1</v>
      </c>
      <c r="AA87">
        <v>2</v>
      </c>
      <c r="AB87">
        <v>1</v>
      </c>
      <c r="AC87">
        <v>1</v>
      </c>
      <c r="AD87">
        <v>1</v>
      </c>
      <c r="AE87">
        <v>1</v>
      </c>
      <c r="AF87">
        <v>2</v>
      </c>
      <c r="AG87">
        <v>1</v>
      </c>
      <c r="AH87">
        <v>1</v>
      </c>
      <c r="AI87">
        <v>1</v>
      </c>
      <c r="AJ87">
        <v>1</v>
      </c>
      <c r="AK87">
        <v>1</v>
      </c>
      <c r="AL87">
        <v>1</v>
      </c>
      <c r="AM87">
        <v>1</v>
      </c>
      <c r="AN87">
        <v>0</v>
      </c>
      <c r="AO87" t="s">
        <v>70</v>
      </c>
      <c r="AP87" t="s">
        <v>70</v>
      </c>
      <c r="AQ87">
        <v>1</v>
      </c>
      <c r="AR87">
        <v>1</v>
      </c>
      <c r="AS87">
        <v>1</v>
      </c>
      <c r="AT87">
        <v>1</v>
      </c>
      <c r="AU87">
        <v>1</v>
      </c>
      <c r="AV87">
        <v>1</v>
      </c>
      <c r="AW87" t="s">
        <v>171</v>
      </c>
      <c r="AX87">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88" spans="1:50" hidden="1">
      <c r="A88">
        <v>87</v>
      </c>
      <c r="B88" t="s">
        <v>163</v>
      </c>
      <c r="C88" s="10">
        <v>39096315</v>
      </c>
      <c r="D88" t="s">
        <v>172</v>
      </c>
      <c r="E88">
        <v>1</v>
      </c>
      <c r="F88">
        <v>1</v>
      </c>
      <c r="G88">
        <v>1</v>
      </c>
      <c r="H88">
        <v>1</v>
      </c>
      <c r="I88">
        <v>1</v>
      </c>
      <c r="J88">
        <v>1</v>
      </c>
      <c r="K88">
        <v>1</v>
      </c>
      <c r="L88">
        <v>1</v>
      </c>
      <c r="M88">
        <v>1</v>
      </c>
      <c r="N88">
        <v>1</v>
      </c>
      <c r="O88">
        <v>1</v>
      </c>
      <c r="P88">
        <v>0</v>
      </c>
      <c r="Q88" t="s">
        <v>70</v>
      </c>
      <c r="R88" t="s">
        <v>70</v>
      </c>
      <c r="S88">
        <v>0</v>
      </c>
      <c r="T88" t="s">
        <v>70</v>
      </c>
      <c r="U88" t="s">
        <v>70</v>
      </c>
      <c r="V88">
        <v>0</v>
      </c>
      <c r="W88" t="s">
        <v>70</v>
      </c>
      <c r="X88" t="s">
        <v>70</v>
      </c>
      <c r="Y88">
        <v>1</v>
      </c>
      <c r="Z88">
        <v>1</v>
      </c>
      <c r="AA88">
        <v>1</v>
      </c>
      <c r="AB88">
        <v>1</v>
      </c>
      <c r="AC88">
        <v>1</v>
      </c>
      <c r="AD88">
        <v>1</v>
      </c>
      <c r="AE88">
        <v>1</v>
      </c>
      <c r="AF88">
        <v>1</v>
      </c>
      <c r="AG88">
        <v>1</v>
      </c>
      <c r="AH88">
        <v>1</v>
      </c>
      <c r="AI88">
        <v>1</v>
      </c>
      <c r="AJ88">
        <v>1</v>
      </c>
      <c r="AK88">
        <v>1</v>
      </c>
      <c r="AL88">
        <v>1</v>
      </c>
      <c r="AM88">
        <v>1</v>
      </c>
      <c r="AN88">
        <v>1</v>
      </c>
      <c r="AO88">
        <v>1</v>
      </c>
      <c r="AP88">
        <v>1</v>
      </c>
      <c r="AQ88">
        <v>1</v>
      </c>
      <c r="AR88">
        <v>1</v>
      </c>
      <c r="AS88">
        <v>1</v>
      </c>
      <c r="AT88">
        <v>0</v>
      </c>
      <c r="AU88" t="s">
        <v>70</v>
      </c>
      <c r="AV88" t="s">
        <v>70</v>
      </c>
      <c r="AW88" t="s">
        <v>173</v>
      </c>
      <c r="AX88">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89" spans="1:50" hidden="1">
      <c r="A89">
        <v>88</v>
      </c>
      <c r="B89" t="s">
        <v>163</v>
      </c>
      <c r="C89" s="10">
        <v>39106427</v>
      </c>
      <c r="D89" t="s">
        <v>174</v>
      </c>
      <c r="E89">
        <v>1</v>
      </c>
      <c r="F89">
        <v>1</v>
      </c>
      <c r="G89">
        <v>1</v>
      </c>
      <c r="H89">
        <v>1</v>
      </c>
      <c r="I89">
        <v>1</v>
      </c>
      <c r="J89">
        <v>1</v>
      </c>
      <c r="K89">
        <v>1</v>
      </c>
      <c r="L89">
        <v>1</v>
      </c>
      <c r="M89">
        <v>1</v>
      </c>
      <c r="N89">
        <v>1</v>
      </c>
      <c r="O89">
        <v>1</v>
      </c>
      <c r="P89">
        <v>1</v>
      </c>
      <c r="Q89">
        <v>1</v>
      </c>
      <c r="R89">
        <v>1</v>
      </c>
      <c r="S89">
        <v>0</v>
      </c>
      <c r="T89" t="s">
        <v>70</v>
      </c>
      <c r="U89" t="s">
        <v>70</v>
      </c>
      <c r="V89">
        <v>0</v>
      </c>
      <c r="W89" t="s">
        <v>70</v>
      </c>
      <c r="X89" t="s">
        <v>70</v>
      </c>
      <c r="Y89">
        <v>1</v>
      </c>
      <c r="Z89">
        <v>1</v>
      </c>
      <c r="AA89">
        <v>1</v>
      </c>
      <c r="AB89">
        <v>0</v>
      </c>
      <c r="AC89" t="s">
        <v>70</v>
      </c>
      <c r="AD89" t="s">
        <v>70</v>
      </c>
      <c r="AE89">
        <v>0</v>
      </c>
      <c r="AF89" t="s">
        <v>70</v>
      </c>
      <c r="AG89" t="s">
        <v>70</v>
      </c>
      <c r="AH89">
        <v>1</v>
      </c>
      <c r="AI89">
        <v>1</v>
      </c>
      <c r="AJ89">
        <v>1</v>
      </c>
      <c r="AK89">
        <v>1</v>
      </c>
      <c r="AL89">
        <v>1</v>
      </c>
      <c r="AM89">
        <v>1</v>
      </c>
      <c r="AN89">
        <v>0</v>
      </c>
      <c r="AO89" t="s">
        <v>70</v>
      </c>
      <c r="AP89" t="s">
        <v>70</v>
      </c>
      <c r="AQ89">
        <v>1</v>
      </c>
      <c r="AR89">
        <v>1</v>
      </c>
      <c r="AS89">
        <v>1</v>
      </c>
      <c r="AT89">
        <v>0</v>
      </c>
      <c r="AU89" t="s">
        <v>51</v>
      </c>
      <c r="AV89" t="s">
        <v>51</v>
      </c>
      <c r="AX89">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90" spans="1:50" hidden="1">
      <c r="A90">
        <v>89</v>
      </c>
      <c r="B90" t="s">
        <v>163</v>
      </c>
      <c r="C90" s="10">
        <v>39114262</v>
      </c>
      <c r="D90" t="s">
        <v>175</v>
      </c>
      <c r="E90">
        <v>1</v>
      </c>
      <c r="F90">
        <v>0</v>
      </c>
      <c r="G90">
        <v>1</v>
      </c>
      <c r="H90">
        <v>1</v>
      </c>
      <c r="I90">
        <v>1</v>
      </c>
      <c r="J90">
        <v>1</v>
      </c>
      <c r="K90">
        <v>1</v>
      </c>
      <c r="L90">
        <v>1</v>
      </c>
      <c r="M90">
        <v>1</v>
      </c>
      <c r="N90">
        <v>1</v>
      </c>
      <c r="O90">
        <v>1</v>
      </c>
      <c r="P90">
        <v>1</v>
      </c>
      <c r="Q90">
        <v>1</v>
      </c>
      <c r="R90">
        <v>1</v>
      </c>
      <c r="S90">
        <v>0</v>
      </c>
      <c r="T90" t="s">
        <v>70</v>
      </c>
      <c r="U90" t="s">
        <v>70</v>
      </c>
      <c r="V90">
        <v>0</v>
      </c>
      <c r="W90" t="s">
        <v>70</v>
      </c>
      <c r="X90" t="s">
        <v>70</v>
      </c>
      <c r="Y90">
        <v>1</v>
      </c>
      <c r="Z90">
        <v>1</v>
      </c>
      <c r="AA90">
        <v>1</v>
      </c>
      <c r="AB90">
        <v>1</v>
      </c>
      <c r="AC90">
        <v>1</v>
      </c>
      <c r="AD90">
        <v>1</v>
      </c>
      <c r="AE90">
        <v>1</v>
      </c>
      <c r="AF90">
        <v>1</v>
      </c>
      <c r="AG90">
        <v>1</v>
      </c>
      <c r="AH90">
        <v>1</v>
      </c>
      <c r="AI90">
        <v>1</v>
      </c>
      <c r="AJ90">
        <v>1</v>
      </c>
      <c r="AK90">
        <v>1</v>
      </c>
      <c r="AL90">
        <v>1</v>
      </c>
      <c r="AM90">
        <v>1</v>
      </c>
      <c r="AN90">
        <v>1</v>
      </c>
      <c r="AO90">
        <v>2</v>
      </c>
      <c r="AP90">
        <v>1</v>
      </c>
      <c r="AQ90">
        <v>1</v>
      </c>
      <c r="AR90">
        <v>1</v>
      </c>
      <c r="AS90">
        <v>1</v>
      </c>
      <c r="AT90">
        <v>1</v>
      </c>
      <c r="AU90">
        <v>1</v>
      </c>
      <c r="AV90">
        <v>1</v>
      </c>
      <c r="AX90">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91" spans="1:50" hidden="1">
      <c r="A91">
        <v>90</v>
      </c>
      <c r="B91" t="s">
        <v>163</v>
      </c>
      <c r="C91" s="10">
        <v>39113542</v>
      </c>
      <c r="D91" t="s">
        <v>176</v>
      </c>
      <c r="E91">
        <v>1</v>
      </c>
      <c r="F91">
        <v>1</v>
      </c>
      <c r="G91">
        <v>1</v>
      </c>
      <c r="H91">
        <v>1</v>
      </c>
      <c r="I91">
        <v>1</v>
      </c>
      <c r="J91">
        <v>1</v>
      </c>
      <c r="K91">
        <v>1</v>
      </c>
      <c r="L91">
        <v>1</v>
      </c>
      <c r="M91">
        <v>1</v>
      </c>
      <c r="N91">
        <v>1</v>
      </c>
      <c r="O91">
        <v>1</v>
      </c>
      <c r="P91">
        <v>1</v>
      </c>
      <c r="Q91">
        <v>1</v>
      </c>
      <c r="R91">
        <v>1</v>
      </c>
      <c r="S91">
        <v>0</v>
      </c>
      <c r="T91" t="s">
        <v>70</v>
      </c>
      <c r="U91" t="s">
        <v>70</v>
      </c>
      <c r="V91">
        <v>0</v>
      </c>
      <c r="W91" t="s">
        <v>70</v>
      </c>
      <c r="X91" t="s">
        <v>70</v>
      </c>
      <c r="Y91">
        <v>1</v>
      </c>
      <c r="Z91">
        <v>1</v>
      </c>
      <c r="AA91">
        <v>1</v>
      </c>
      <c r="AB91">
        <v>1</v>
      </c>
      <c r="AC91">
        <v>1</v>
      </c>
      <c r="AD91">
        <v>1</v>
      </c>
      <c r="AE91">
        <v>1</v>
      </c>
      <c r="AF91">
        <v>2</v>
      </c>
      <c r="AG91">
        <v>1</v>
      </c>
      <c r="AH91">
        <v>1</v>
      </c>
      <c r="AI91">
        <v>1</v>
      </c>
      <c r="AJ91">
        <v>1</v>
      </c>
      <c r="AK91">
        <v>1</v>
      </c>
      <c r="AL91">
        <v>1</v>
      </c>
      <c r="AM91">
        <v>1</v>
      </c>
      <c r="AN91">
        <v>1</v>
      </c>
      <c r="AO91">
        <v>2</v>
      </c>
      <c r="AP91">
        <v>1</v>
      </c>
      <c r="AQ91">
        <v>1</v>
      </c>
      <c r="AR91">
        <v>1</v>
      </c>
      <c r="AS91">
        <v>1</v>
      </c>
      <c r="AT91">
        <v>1</v>
      </c>
      <c r="AU91">
        <v>1</v>
      </c>
      <c r="AV91">
        <v>1</v>
      </c>
      <c r="AX91">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92" spans="1:50" hidden="1">
      <c r="A92">
        <v>91</v>
      </c>
      <c r="B92" t="s">
        <v>177</v>
      </c>
      <c r="C92" s="10">
        <v>39101808</v>
      </c>
      <c r="D92" t="s">
        <v>178</v>
      </c>
      <c r="E92">
        <v>1</v>
      </c>
      <c r="F92">
        <v>0</v>
      </c>
      <c r="G92">
        <v>1</v>
      </c>
      <c r="H92">
        <v>1</v>
      </c>
      <c r="I92">
        <v>1</v>
      </c>
      <c r="J92">
        <v>1</v>
      </c>
      <c r="K92">
        <v>1</v>
      </c>
      <c r="L92">
        <v>1</v>
      </c>
      <c r="M92">
        <v>1</v>
      </c>
      <c r="N92">
        <v>1</v>
      </c>
      <c r="O92">
        <v>1</v>
      </c>
      <c r="P92">
        <v>1</v>
      </c>
      <c r="Q92">
        <v>1</v>
      </c>
      <c r="R92">
        <v>1</v>
      </c>
      <c r="S92">
        <v>0</v>
      </c>
      <c r="T92" t="s">
        <v>70</v>
      </c>
      <c r="U92" t="s">
        <v>70</v>
      </c>
      <c r="V92">
        <v>0</v>
      </c>
      <c r="W92" t="s">
        <v>70</v>
      </c>
      <c r="X92" t="s">
        <v>70</v>
      </c>
      <c r="Y92">
        <v>1</v>
      </c>
      <c r="Z92">
        <v>1</v>
      </c>
      <c r="AA92">
        <v>1</v>
      </c>
      <c r="AB92">
        <v>1</v>
      </c>
      <c r="AC92">
        <v>1</v>
      </c>
      <c r="AD92">
        <v>1</v>
      </c>
      <c r="AE92">
        <v>1</v>
      </c>
      <c r="AF92">
        <v>2</v>
      </c>
      <c r="AG92">
        <v>1</v>
      </c>
      <c r="AH92">
        <v>1</v>
      </c>
      <c r="AI92">
        <v>1</v>
      </c>
      <c r="AJ92">
        <v>1</v>
      </c>
      <c r="AK92">
        <v>1</v>
      </c>
      <c r="AL92">
        <v>1</v>
      </c>
      <c r="AM92">
        <v>1</v>
      </c>
      <c r="AN92">
        <v>1</v>
      </c>
      <c r="AO92">
        <v>2</v>
      </c>
      <c r="AP92">
        <v>1</v>
      </c>
      <c r="AQ92">
        <v>1</v>
      </c>
      <c r="AR92">
        <v>1</v>
      </c>
      <c r="AS92">
        <v>1</v>
      </c>
      <c r="AT92">
        <v>1</v>
      </c>
      <c r="AU92">
        <v>1</v>
      </c>
      <c r="AV92">
        <v>1</v>
      </c>
      <c r="AX92">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93" spans="1:50" hidden="1">
      <c r="A93">
        <v>92</v>
      </c>
      <c r="B93" t="s">
        <v>177</v>
      </c>
      <c r="C93" s="10">
        <v>39092509</v>
      </c>
      <c r="D93" t="s">
        <v>179</v>
      </c>
      <c r="E93">
        <v>1</v>
      </c>
      <c r="F93">
        <v>1</v>
      </c>
      <c r="G93">
        <v>1</v>
      </c>
      <c r="H93">
        <v>1</v>
      </c>
      <c r="I93">
        <v>1</v>
      </c>
      <c r="J93">
        <v>1</v>
      </c>
      <c r="K93">
        <v>1</v>
      </c>
      <c r="L93">
        <v>1</v>
      </c>
      <c r="M93">
        <v>1</v>
      </c>
      <c r="N93">
        <v>1</v>
      </c>
      <c r="O93">
        <v>1</v>
      </c>
      <c r="P93">
        <v>1</v>
      </c>
      <c r="Q93">
        <v>1</v>
      </c>
      <c r="R93">
        <v>1</v>
      </c>
      <c r="S93">
        <v>1</v>
      </c>
      <c r="T93">
        <v>1</v>
      </c>
      <c r="U93">
        <v>1</v>
      </c>
      <c r="V93">
        <v>1</v>
      </c>
      <c r="W93">
        <v>1</v>
      </c>
      <c r="X93">
        <v>1</v>
      </c>
      <c r="Y93">
        <v>0</v>
      </c>
      <c r="Z93" t="s">
        <v>70</v>
      </c>
      <c r="AA93" t="s">
        <v>70</v>
      </c>
      <c r="AB93">
        <v>1</v>
      </c>
      <c r="AC93">
        <v>1</v>
      </c>
      <c r="AD93">
        <v>1</v>
      </c>
      <c r="AE93">
        <v>1</v>
      </c>
      <c r="AF93">
        <v>1</v>
      </c>
      <c r="AG93">
        <v>1</v>
      </c>
      <c r="AH93">
        <v>1</v>
      </c>
      <c r="AI93">
        <v>1</v>
      </c>
      <c r="AJ93">
        <v>1</v>
      </c>
      <c r="AK93">
        <v>1</v>
      </c>
      <c r="AL93">
        <v>1</v>
      </c>
      <c r="AM93">
        <v>1</v>
      </c>
      <c r="AN93">
        <v>1</v>
      </c>
      <c r="AO93">
        <v>2</v>
      </c>
      <c r="AP93">
        <v>1</v>
      </c>
      <c r="AQ93">
        <v>1</v>
      </c>
      <c r="AR93">
        <v>1</v>
      </c>
      <c r="AS93">
        <v>1</v>
      </c>
      <c r="AT93">
        <v>1</v>
      </c>
      <c r="AU93">
        <v>1</v>
      </c>
      <c r="AV93">
        <v>2</v>
      </c>
      <c r="AW93" t="s">
        <v>180</v>
      </c>
      <c r="AX93">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94" spans="1:50" hidden="1">
      <c r="A94">
        <v>93</v>
      </c>
      <c r="B94" t="s">
        <v>177</v>
      </c>
      <c r="C94" s="8" t="s">
        <v>181</v>
      </c>
      <c r="D94" t="s">
        <v>182</v>
      </c>
      <c r="E94">
        <v>1</v>
      </c>
      <c r="F94">
        <v>1</v>
      </c>
      <c r="G94">
        <v>1</v>
      </c>
      <c r="H94">
        <v>1</v>
      </c>
      <c r="I94">
        <v>1</v>
      </c>
      <c r="J94">
        <v>1</v>
      </c>
      <c r="K94">
        <v>1</v>
      </c>
      <c r="L94">
        <v>1</v>
      </c>
      <c r="M94">
        <v>1</v>
      </c>
      <c r="N94">
        <v>1</v>
      </c>
      <c r="O94">
        <v>1</v>
      </c>
      <c r="P94">
        <v>1</v>
      </c>
      <c r="Q94">
        <v>1</v>
      </c>
      <c r="R94">
        <v>1</v>
      </c>
      <c r="S94">
        <v>1</v>
      </c>
      <c r="T94">
        <v>1</v>
      </c>
      <c r="U94">
        <v>1</v>
      </c>
      <c r="V94">
        <v>1</v>
      </c>
      <c r="W94">
        <v>1</v>
      </c>
      <c r="X94">
        <v>1</v>
      </c>
      <c r="Y94">
        <v>1</v>
      </c>
      <c r="Z94">
        <v>1</v>
      </c>
      <c r="AA94">
        <v>1</v>
      </c>
      <c r="AB94">
        <v>1</v>
      </c>
      <c r="AC94">
        <v>1</v>
      </c>
      <c r="AD94">
        <v>1</v>
      </c>
      <c r="AE94">
        <v>1</v>
      </c>
      <c r="AF94">
        <v>1</v>
      </c>
      <c r="AG94">
        <v>1</v>
      </c>
      <c r="AH94">
        <v>1</v>
      </c>
      <c r="AI94">
        <v>1</v>
      </c>
      <c r="AJ94">
        <v>1</v>
      </c>
      <c r="AK94">
        <v>1</v>
      </c>
      <c r="AL94">
        <v>1</v>
      </c>
      <c r="AM94">
        <v>1</v>
      </c>
      <c r="AN94">
        <v>0</v>
      </c>
      <c r="AO94" t="s">
        <v>70</v>
      </c>
      <c r="AP94" t="s">
        <v>70</v>
      </c>
      <c r="AQ94">
        <v>1</v>
      </c>
      <c r="AR94">
        <v>1</v>
      </c>
      <c r="AS94">
        <v>1</v>
      </c>
      <c r="AT94">
        <v>1</v>
      </c>
      <c r="AU94">
        <v>1</v>
      </c>
      <c r="AV94">
        <v>2</v>
      </c>
      <c r="AW94" t="s">
        <v>183</v>
      </c>
      <c r="AX94">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95" spans="1:50" s="16" customFormat="1">
      <c r="A95" s="16">
        <v>94</v>
      </c>
      <c r="B95" s="16" t="s">
        <v>177</v>
      </c>
      <c r="C95" s="17">
        <v>39095007</v>
      </c>
      <c r="D95" s="16" t="s">
        <v>184</v>
      </c>
      <c r="E95" s="16">
        <v>1</v>
      </c>
      <c r="F95" s="16">
        <v>0</v>
      </c>
      <c r="G95" s="16">
        <v>1</v>
      </c>
      <c r="H95" s="16">
        <v>1</v>
      </c>
      <c r="I95" s="16">
        <v>3</v>
      </c>
      <c r="J95" s="16">
        <v>1</v>
      </c>
      <c r="K95" s="16">
        <v>1</v>
      </c>
      <c r="L95" s="16">
        <v>1</v>
      </c>
      <c r="M95" s="16">
        <v>1</v>
      </c>
      <c r="N95" s="16">
        <v>1</v>
      </c>
      <c r="O95" s="16">
        <v>1</v>
      </c>
      <c r="P95" s="16">
        <v>1</v>
      </c>
      <c r="Q95" s="16">
        <v>1</v>
      </c>
      <c r="R95" s="16">
        <v>1</v>
      </c>
      <c r="S95" s="16">
        <v>0</v>
      </c>
      <c r="T95" s="16" t="s">
        <v>70</v>
      </c>
      <c r="U95" s="16" t="s">
        <v>70</v>
      </c>
      <c r="V95" s="16">
        <v>0</v>
      </c>
      <c r="W95" s="16" t="s">
        <v>70</v>
      </c>
      <c r="X95" s="16" t="s">
        <v>70</v>
      </c>
      <c r="Y95" s="16">
        <v>1</v>
      </c>
      <c r="Z95" s="16">
        <v>1</v>
      </c>
      <c r="AA95" s="16">
        <v>1</v>
      </c>
      <c r="AB95" s="16">
        <v>1</v>
      </c>
      <c r="AC95" s="16">
        <v>1</v>
      </c>
      <c r="AD95" s="16">
        <v>1</v>
      </c>
      <c r="AE95" s="16">
        <v>0</v>
      </c>
      <c r="AF95" s="16" t="s">
        <v>70</v>
      </c>
      <c r="AG95" s="16" t="s">
        <v>70</v>
      </c>
      <c r="AH95" s="16">
        <v>1</v>
      </c>
      <c r="AI95" s="16">
        <v>1</v>
      </c>
      <c r="AJ95" s="16">
        <v>1</v>
      </c>
      <c r="AK95" s="16">
        <v>1</v>
      </c>
      <c r="AL95" s="16">
        <v>1</v>
      </c>
      <c r="AM95" s="16">
        <v>1</v>
      </c>
      <c r="AN95" s="16">
        <v>1</v>
      </c>
      <c r="AO95" s="16">
        <v>2</v>
      </c>
      <c r="AP95" s="16">
        <v>1</v>
      </c>
      <c r="AQ95" s="16">
        <v>1</v>
      </c>
      <c r="AR95" s="16">
        <v>1</v>
      </c>
      <c r="AS95" s="16">
        <v>1</v>
      </c>
      <c r="AT95" s="16">
        <v>1</v>
      </c>
      <c r="AU95" s="16">
        <v>1</v>
      </c>
      <c r="AV95" s="16">
        <v>2</v>
      </c>
      <c r="AW95" s="16" t="s">
        <v>185</v>
      </c>
      <c r="AX95" s="1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1</v>
      </c>
    </row>
    <row r="96" spans="1:50" hidden="1">
      <c r="A96">
        <v>95</v>
      </c>
      <c r="B96" t="s">
        <v>177</v>
      </c>
      <c r="C96" s="10">
        <v>39096343</v>
      </c>
      <c r="D96" t="s">
        <v>186</v>
      </c>
      <c r="E96">
        <v>1</v>
      </c>
      <c r="F96">
        <v>0</v>
      </c>
      <c r="G96">
        <v>1</v>
      </c>
      <c r="H96">
        <v>1</v>
      </c>
      <c r="I96">
        <v>1</v>
      </c>
      <c r="J96">
        <v>1</v>
      </c>
      <c r="K96">
        <v>1</v>
      </c>
      <c r="L96">
        <v>1</v>
      </c>
      <c r="M96">
        <v>1</v>
      </c>
      <c r="N96">
        <v>1</v>
      </c>
      <c r="O96">
        <v>1</v>
      </c>
      <c r="P96">
        <v>1</v>
      </c>
      <c r="Q96">
        <v>1</v>
      </c>
      <c r="R96">
        <v>1</v>
      </c>
      <c r="S96">
        <v>0</v>
      </c>
      <c r="T96" t="s">
        <v>70</v>
      </c>
      <c r="U96" t="s">
        <v>70</v>
      </c>
      <c r="V96">
        <v>0</v>
      </c>
      <c r="W96" t="s">
        <v>70</v>
      </c>
      <c r="X96" t="s">
        <v>70</v>
      </c>
      <c r="Y96">
        <v>1</v>
      </c>
      <c r="Z96">
        <v>1</v>
      </c>
      <c r="AA96">
        <v>1</v>
      </c>
      <c r="AB96">
        <v>1</v>
      </c>
      <c r="AC96">
        <v>1</v>
      </c>
      <c r="AD96">
        <v>1</v>
      </c>
      <c r="AE96">
        <v>1</v>
      </c>
      <c r="AF96">
        <v>2</v>
      </c>
      <c r="AG96">
        <v>1</v>
      </c>
      <c r="AH96">
        <v>1</v>
      </c>
      <c r="AI96">
        <v>1</v>
      </c>
      <c r="AJ96">
        <v>1</v>
      </c>
      <c r="AK96">
        <v>1</v>
      </c>
      <c r="AL96">
        <v>1</v>
      </c>
      <c r="AM96">
        <v>1</v>
      </c>
      <c r="AN96">
        <v>1</v>
      </c>
      <c r="AO96">
        <v>2</v>
      </c>
      <c r="AP96">
        <v>1</v>
      </c>
      <c r="AQ96">
        <v>1</v>
      </c>
      <c r="AR96">
        <v>1</v>
      </c>
      <c r="AS96">
        <v>1</v>
      </c>
      <c r="AT96">
        <v>1</v>
      </c>
      <c r="AU96">
        <v>1</v>
      </c>
      <c r="AV96">
        <v>1</v>
      </c>
      <c r="AX9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97" spans="1:50" hidden="1">
      <c r="A97">
        <v>96</v>
      </c>
      <c r="B97" t="s">
        <v>177</v>
      </c>
      <c r="C97" s="10">
        <v>39090846</v>
      </c>
      <c r="D97" t="s">
        <v>99</v>
      </c>
      <c r="E97">
        <v>1</v>
      </c>
      <c r="F97">
        <v>0</v>
      </c>
      <c r="G97">
        <v>1</v>
      </c>
      <c r="H97">
        <v>1</v>
      </c>
      <c r="I97">
        <v>1</v>
      </c>
      <c r="J97">
        <v>1</v>
      </c>
      <c r="K97">
        <v>1</v>
      </c>
      <c r="L97">
        <v>1</v>
      </c>
      <c r="M97">
        <v>1</v>
      </c>
      <c r="N97">
        <v>1</v>
      </c>
      <c r="O97">
        <v>1</v>
      </c>
      <c r="P97">
        <v>1</v>
      </c>
      <c r="Q97">
        <v>1</v>
      </c>
      <c r="R97">
        <v>1</v>
      </c>
      <c r="S97">
        <v>0</v>
      </c>
      <c r="T97" t="s">
        <v>70</v>
      </c>
      <c r="U97" t="s">
        <v>70</v>
      </c>
      <c r="V97">
        <v>0</v>
      </c>
      <c r="W97" t="s">
        <v>70</v>
      </c>
      <c r="X97" t="s">
        <v>70</v>
      </c>
      <c r="Y97">
        <v>1</v>
      </c>
      <c r="Z97">
        <v>1</v>
      </c>
      <c r="AA97">
        <v>1</v>
      </c>
      <c r="AB97">
        <v>1</v>
      </c>
      <c r="AC97">
        <v>1</v>
      </c>
      <c r="AD97">
        <v>1</v>
      </c>
      <c r="AE97">
        <v>0</v>
      </c>
      <c r="AF97" t="s">
        <v>70</v>
      </c>
      <c r="AG97" t="s">
        <v>70</v>
      </c>
      <c r="AH97">
        <v>1</v>
      </c>
      <c r="AI97">
        <v>1</v>
      </c>
      <c r="AJ97">
        <v>1</v>
      </c>
      <c r="AK97">
        <v>1</v>
      </c>
      <c r="AL97">
        <v>1</v>
      </c>
      <c r="AM97">
        <v>1</v>
      </c>
      <c r="AN97">
        <v>1</v>
      </c>
      <c r="AO97">
        <v>1</v>
      </c>
      <c r="AP97">
        <v>1</v>
      </c>
      <c r="AQ97">
        <v>1</v>
      </c>
      <c r="AR97">
        <v>1</v>
      </c>
      <c r="AS97">
        <v>1</v>
      </c>
      <c r="AT97">
        <v>1</v>
      </c>
      <c r="AU97">
        <v>1</v>
      </c>
      <c r="AV97">
        <v>1</v>
      </c>
      <c r="AX97">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98" spans="1:50" hidden="1">
      <c r="A98">
        <v>97</v>
      </c>
      <c r="B98" t="s">
        <v>177</v>
      </c>
      <c r="C98" s="10">
        <v>39091373</v>
      </c>
      <c r="D98" t="s">
        <v>107</v>
      </c>
      <c r="E98">
        <v>1</v>
      </c>
      <c r="F98">
        <v>0</v>
      </c>
      <c r="G98">
        <v>1</v>
      </c>
      <c r="H98">
        <v>1</v>
      </c>
      <c r="I98">
        <v>1</v>
      </c>
      <c r="J98">
        <v>1</v>
      </c>
      <c r="K98">
        <v>1</v>
      </c>
      <c r="L98">
        <v>1</v>
      </c>
      <c r="M98">
        <v>1</v>
      </c>
      <c r="N98">
        <v>1</v>
      </c>
      <c r="O98">
        <v>1</v>
      </c>
      <c r="P98">
        <v>1</v>
      </c>
      <c r="Q98">
        <v>1</v>
      </c>
      <c r="R98">
        <v>1</v>
      </c>
      <c r="S98">
        <v>0</v>
      </c>
      <c r="T98" t="s">
        <v>70</v>
      </c>
      <c r="U98" t="s">
        <v>70</v>
      </c>
      <c r="V98">
        <v>0</v>
      </c>
      <c r="W98" t="s">
        <v>70</v>
      </c>
      <c r="X98" t="s">
        <v>70</v>
      </c>
      <c r="Y98">
        <v>1</v>
      </c>
      <c r="Z98">
        <v>1</v>
      </c>
      <c r="AA98">
        <v>1</v>
      </c>
      <c r="AB98">
        <v>1</v>
      </c>
      <c r="AC98">
        <v>1</v>
      </c>
      <c r="AD98">
        <v>1</v>
      </c>
      <c r="AE98">
        <v>0</v>
      </c>
      <c r="AF98" t="s">
        <v>70</v>
      </c>
      <c r="AG98" t="s">
        <v>70</v>
      </c>
      <c r="AH98">
        <v>1</v>
      </c>
      <c r="AI98">
        <v>1</v>
      </c>
      <c r="AJ98">
        <v>1</v>
      </c>
      <c r="AK98">
        <v>1</v>
      </c>
      <c r="AL98">
        <v>1</v>
      </c>
      <c r="AM98">
        <v>1</v>
      </c>
      <c r="AN98">
        <v>0</v>
      </c>
      <c r="AO98" t="s">
        <v>70</v>
      </c>
      <c r="AP98" t="s">
        <v>70</v>
      </c>
      <c r="AQ98">
        <v>1</v>
      </c>
      <c r="AR98">
        <v>1</v>
      </c>
      <c r="AS98">
        <v>1</v>
      </c>
      <c r="AT98">
        <v>1</v>
      </c>
      <c r="AU98">
        <v>1</v>
      </c>
      <c r="AV98">
        <v>1</v>
      </c>
      <c r="AX98">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99" spans="1:50" hidden="1">
      <c r="A99">
        <v>98</v>
      </c>
      <c r="B99" t="s">
        <v>177</v>
      </c>
      <c r="C99" s="10">
        <v>39090222</v>
      </c>
      <c r="D99" t="s">
        <v>187</v>
      </c>
      <c r="E99">
        <v>1</v>
      </c>
      <c r="F99">
        <v>0</v>
      </c>
      <c r="G99">
        <v>1</v>
      </c>
      <c r="H99">
        <v>1</v>
      </c>
      <c r="I99">
        <v>1</v>
      </c>
      <c r="J99">
        <v>1</v>
      </c>
      <c r="K99">
        <v>1</v>
      </c>
      <c r="L99">
        <v>1</v>
      </c>
      <c r="M99">
        <v>1</v>
      </c>
      <c r="N99">
        <v>1</v>
      </c>
      <c r="O99">
        <v>1</v>
      </c>
      <c r="P99">
        <v>1</v>
      </c>
      <c r="Q99">
        <v>1</v>
      </c>
      <c r="R99">
        <v>1</v>
      </c>
      <c r="S99">
        <v>0</v>
      </c>
      <c r="T99" t="s">
        <v>70</v>
      </c>
      <c r="U99" t="s">
        <v>70</v>
      </c>
      <c r="V99">
        <v>0</v>
      </c>
      <c r="W99" t="s">
        <v>70</v>
      </c>
      <c r="X99" t="s">
        <v>70</v>
      </c>
      <c r="Y99">
        <v>1</v>
      </c>
      <c r="Z99">
        <v>1</v>
      </c>
      <c r="AA99">
        <v>1</v>
      </c>
      <c r="AB99">
        <v>1</v>
      </c>
      <c r="AC99">
        <v>2</v>
      </c>
      <c r="AD99">
        <v>2</v>
      </c>
      <c r="AE99">
        <v>1</v>
      </c>
      <c r="AF99">
        <v>1</v>
      </c>
      <c r="AG99">
        <v>1</v>
      </c>
      <c r="AH99">
        <v>1</v>
      </c>
      <c r="AI99">
        <v>1</v>
      </c>
      <c r="AJ99">
        <v>1</v>
      </c>
      <c r="AK99">
        <v>1</v>
      </c>
      <c r="AL99">
        <v>1</v>
      </c>
      <c r="AM99">
        <v>1</v>
      </c>
      <c r="AN99">
        <v>1</v>
      </c>
      <c r="AO99">
        <v>2</v>
      </c>
      <c r="AP99">
        <v>1</v>
      </c>
      <c r="AQ99">
        <v>1</v>
      </c>
      <c r="AR99">
        <v>1</v>
      </c>
      <c r="AS99">
        <v>1</v>
      </c>
      <c r="AT99">
        <v>1</v>
      </c>
      <c r="AU99">
        <v>1</v>
      </c>
      <c r="AV99">
        <v>1</v>
      </c>
      <c r="AX99">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00" spans="1:50" hidden="1">
      <c r="A100">
        <v>99</v>
      </c>
      <c r="B100" t="s">
        <v>177</v>
      </c>
      <c r="C100" s="10">
        <v>39088344</v>
      </c>
      <c r="D100" t="s">
        <v>188</v>
      </c>
      <c r="E100">
        <v>1</v>
      </c>
      <c r="F100">
        <v>0</v>
      </c>
      <c r="G100">
        <v>1</v>
      </c>
      <c r="H100">
        <v>1</v>
      </c>
      <c r="I100">
        <v>1</v>
      </c>
      <c r="J100">
        <v>1</v>
      </c>
      <c r="K100">
        <v>1</v>
      </c>
      <c r="L100">
        <v>1</v>
      </c>
      <c r="M100">
        <v>1</v>
      </c>
      <c r="N100">
        <v>1</v>
      </c>
      <c r="O100">
        <v>1</v>
      </c>
      <c r="P100">
        <v>1</v>
      </c>
      <c r="Q100">
        <v>1</v>
      </c>
      <c r="R100">
        <v>1</v>
      </c>
      <c r="S100">
        <v>1</v>
      </c>
      <c r="T100">
        <v>1</v>
      </c>
      <c r="U100">
        <v>1</v>
      </c>
      <c r="V100">
        <v>1</v>
      </c>
      <c r="W100">
        <v>1</v>
      </c>
      <c r="X100">
        <v>1</v>
      </c>
      <c r="Y100">
        <v>1</v>
      </c>
      <c r="Z100">
        <v>1</v>
      </c>
      <c r="AA100">
        <v>1</v>
      </c>
      <c r="AB100">
        <v>1</v>
      </c>
      <c r="AC100">
        <v>1</v>
      </c>
      <c r="AD100">
        <v>1</v>
      </c>
      <c r="AE100">
        <v>1</v>
      </c>
      <c r="AF100">
        <v>1</v>
      </c>
      <c r="AG100">
        <v>1</v>
      </c>
      <c r="AH100">
        <v>1</v>
      </c>
      <c r="AI100">
        <v>1</v>
      </c>
      <c r="AJ100">
        <v>1</v>
      </c>
      <c r="AK100">
        <v>1</v>
      </c>
      <c r="AL100">
        <v>1</v>
      </c>
      <c r="AM100">
        <v>1</v>
      </c>
      <c r="AN100">
        <v>1</v>
      </c>
      <c r="AO100">
        <v>2</v>
      </c>
      <c r="AP100">
        <v>1</v>
      </c>
      <c r="AQ100">
        <v>1</v>
      </c>
      <c r="AR100">
        <v>1</v>
      </c>
      <c r="AS100">
        <v>1</v>
      </c>
      <c r="AT100">
        <v>1</v>
      </c>
      <c r="AU100">
        <v>1</v>
      </c>
      <c r="AV100">
        <v>1</v>
      </c>
      <c r="AX100">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01" spans="1:50" hidden="1">
      <c r="A101">
        <v>100</v>
      </c>
      <c r="B101" t="s">
        <v>177</v>
      </c>
      <c r="C101" s="10">
        <v>39088192</v>
      </c>
      <c r="D101" t="s">
        <v>176</v>
      </c>
      <c r="E101">
        <v>1</v>
      </c>
      <c r="F101">
        <v>1</v>
      </c>
      <c r="G101">
        <v>1</v>
      </c>
      <c r="H101">
        <v>1</v>
      </c>
      <c r="I101">
        <v>1</v>
      </c>
      <c r="J101">
        <v>1</v>
      </c>
      <c r="K101">
        <v>1</v>
      </c>
      <c r="L101">
        <v>1</v>
      </c>
      <c r="M101">
        <v>1</v>
      </c>
      <c r="N101">
        <v>1</v>
      </c>
      <c r="O101">
        <v>1</v>
      </c>
      <c r="P101">
        <v>1</v>
      </c>
      <c r="Q101">
        <v>1</v>
      </c>
      <c r="R101">
        <v>1</v>
      </c>
      <c r="S101">
        <v>1</v>
      </c>
      <c r="T101">
        <v>1</v>
      </c>
      <c r="U101">
        <v>1</v>
      </c>
      <c r="V101">
        <v>0</v>
      </c>
      <c r="W101">
        <v>1</v>
      </c>
      <c r="X101">
        <v>1</v>
      </c>
      <c r="Y101">
        <v>1</v>
      </c>
      <c r="Z101">
        <v>1</v>
      </c>
      <c r="AA101">
        <v>1</v>
      </c>
      <c r="AB101">
        <v>1</v>
      </c>
      <c r="AC101">
        <v>1</v>
      </c>
      <c r="AD101">
        <v>1</v>
      </c>
      <c r="AE101">
        <v>1</v>
      </c>
      <c r="AF101">
        <v>1</v>
      </c>
      <c r="AG101">
        <v>1</v>
      </c>
      <c r="AH101">
        <v>1</v>
      </c>
      <c r="AI101">
        <v>1</v>
      </c>
      <c r="AJ101">
        <v>1</v>
      </c>
      <c r="AK101">
        <v>1</v>
      </c>
      <c r="AL101">
        <v>1</v>
      </c>
      <c r="AM101">
        <v>1</v>
      </c>
      <c r="AN101">
        <v>1</v>
      </c>
      <c r="AO101">
        <v>2</v>
      </c>
      <c r="AP101">
        <v>1</v>
      </c>
      <c r="AQ101">
        <v>1</v>
      </c>
      <c r="AR101">
        <v>1</v>
      </c>
      <c r="AS101">
        <v>1</v>
      </c>
      <c r="AT101">
        <v>1</v>
      </c>
      <c r="AU101">
        <v>1</v>
      </c>
      <c r="AV101">
        <v>1</v>
      </c>
      <c r="AX101">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02" spans="1:50" hidden="1">
      <c r="A102">
        <v>101</v>
      </c>
      <c r="B102" t="s">
        <v>189</v>
      </c>
      <c r="C102" s="10">
        <v>39110379</v>
      </c>
      <c r="D102" t="s">
        <v>190</v>
      </c>
      <c r="E102">
        <v>1</v>
      </c>
      <c r="F102">
        <v>0</v>
      </c>
      <c r="G102">
        <v>1</v>
      </c>
      <c r="H102">
        <v>1</v>
      </c>
      <c r="I102">
        <v>2</v>
      </c>
      <c r="J102">
        <v>1</v>
      </c>
      <c r="K102">
        <v>1</v>
      </c>
      <c r="L102">
        <v>1</v>
      </c>
      <c r="M102">
        <v>1</v>
      </c>
      <c r="N102">
        <v>1</v>
      </c>
      <c r="O102">
        <v>2</v>
      </c>
      <c r="P102">
        <v>0</v>
      </c>
      <c r="Q102" t="s">
        <v>70</v>
      </c>
      <c r="R102" t="s">
        <v>70</v>
      </c>
      <c r="S102">
        <v>0</v>
      </c>
      <c r="T102" t="s">
        <v>70</v>
      </c>
      <c r="U102" t="s">
        <v>70</v>
      </c>
      <c r="V102">
        <v>0</v>
      </c>
      <c r="W102" t="s">
        <v>70</v>
      </c>
      <c r="X102" t="s">
        <v>70</v>
      </c>
      <c r="Y102">
        <v>1</v>
      </c>
      <c r="Z102">
        <v>1</v>
      </c>
      <c r="AA102">
        <v>1</v>
      </c>
      <c r="AB102">
        <v>1</v>
      </c>
      <c r="AC102">
        <v>1</v>
      </c>
      <c r="AD102">
        <v>2</v>
      </c>
      <c r="AE102">
        <v>1</v>
      </c>
      <c r="AF102">
        <v>2</v>
      </c>
      <c r="AG102">
        <v>2</v>
      </c>
      <c r="AH102">
        <v>1</v>
      </c>
      <c r="AI102">
        <v>1</v>
      </c>
      <c r="AJ102">
        <v>1</v>
      </c>
      <c r="AK102">
        <v>1</v>
      </c>
      <c r="AL102">
        <v>1</v>
      </c>
      <c r="AM102">
        <v>1</v>
      </c>
      <c r="AN102">
        <v>1</v>
      </c>
      <c r="AO102">
        <v>1</v>
      </c>
      <c r="AP102">
        <v>1</v>
      </c>
      <c r="AQ102">
        <v>1</v>
      </c>
      <c r="AR102">
        <v>1</v>
      </c>
      <c r="AS102">
        <v>1</v>
      </c>
      <c r="AT102">
        <v>1</v>
      </c>
      <c r="AU102">
        <v>1</v>
      </c>
      <c r="AV102">
        <v>1</v>
      </c>
      <c r="AW102" t="s">
        <v>191</v>
      </c>
      <c r="AX102">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03" spans="1:50" hidden="1">
      <c r="A103">
        <v>102</v>
      </c>
      <c r="B103" t="s">
        <v>189</v>
      </c>
      <c r="C103" s="10">
        <v>39100813</v>
      </c>
      <c r="D103" t="s">
        <v>192</v>
      </c>
      <c r="E103">
        <v>1</v>
      </c>
      <c r="F103">
        <v>0</v>
      </c>
      <c r="G103">
        <v>1</v>
      </c>
      <c r="H103">
        <v>1</v>
      </c>
      <c r="I103">
        <v>2</v>
      </c>
      <c r="J103">
        <v>1</v>
      </c>
      <c r="K103">
        <v>1</v>
      </c>
      <c r="L103">
        <v>1</v>
      </c>
      <c r="M103">
        <v>1</v>
      </c>
      <c r="N103">
        <v>1</v>
      </c>
      <c r="O103">
        <v>2</v>
      </c>
      <c r="P103">
        <v>1</v>
      </c>
      <c r="Q103">
        <v>1</v>
      </c>
      <c r="R103">
        <v>2</v>
      </c>
      <c r="S103">
        <v>0</v>
      </c>
      <c r="T103" t="s">
        <v>70</v>
      </c>
      <c r="U103" t="s">
        <v>70</v>
      </c>
      <c r="V103">
        <v>0</v>
      </c>
      <c r="W103" t="s">
        <v>70</v>
      </c>
      <c r="X103" t="s">
        <v>70</v>
      </c>
      <c r="Y103">
        <v>1</v>
      </c>
      <c r="Z103">
        <v>1</v>
      </c>
      <c r="AA103">
        <v>1</v>
      </c>
      <c r="AB103">
        <v>1</v>
      </c>
      <c r="AC103">
        <v>1</v>
      </c>
      <c r="AD103">
        <v>2</v>
      </c>
      <c r="AE103">
        <v>1</v>
      </c>
      <c r="AF103">
        <v>2</v>
      </c>
      <c r="AG103">
        <v>2</v>
      </c>
      <c r="AH103">
        <v>1</v>
      </c>
      <c r="AI103">
        <v>1</v>
      </c>
      <c r="AJ103">
        <v>1</v>
      </c>
      <c r="AK103">
        <v>1</v>
      </c>
      <c r="AL103">
        <v>1</v>
      </c>
      <c r="AM103">
        <v>1</v>
      </c>
      <c r="AN103">
        <v>0</v>
      </c>
      <c r="AO103" t="s">
        <v>70</v>
      </c>
      <c r="AP103" t="s">
        <v>70</v>
      </c>
      <c r="AQ103">
        <v>1</v>
      </c>
      <c r="AR103">
        <v>1</v>
      </c>
      <c r="AS103">
        <v>1</v>
      </c>
      <c r="AT103">
        <v>1</v>
      </c>
      <c r="AU103">
        <v>1</v>
      </c>
      <c r="AV103">
        <v>1</v>
      </c>
      <c r="AW103" t="s">
        <v>193</v>
      </c>
      <c r="AX103">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04" spans="1:50" s="16" customFormat="1">
      <c r="A104" s="16">
        <v>103</v>
      </c>
      <c r="B104" s="16" t="s">
        <v>189</v>
      </c>
      <c r="C104" s="17">
        <v>39100822</v>
      </c>
      <c r="D104" s="16" t="s">
        <v>194</v>
      </c>
      <c r="E104" s="16">
        <v>1</v>
      </c>
      <c r="F104" s="16">
        <v>0</v>
      </c>
      <c r="G104" s="16">
        <v>1</v>
      </c>
      <c r="H104" s="16">
        <v>1</v>
      </c>
      <c r="I104" s="16">
        <v>3</v>
      </c>
      <c r="J104" s="16">
        <v>1</v>
      </c>
      <c r="K104" s="16">
        <v>1</v>
      </c>
      <c r="L104" s="16">
        <v>1</v>
      </c>
      <c r="M104" s="16">
        <v>1</v>
      </c>
      <c r="N104" s="16">
        <v>1</v>
      </c>
      <c r="O104" s="16">
        <v>1</v>
      </c>
      <c r="P104" s="16">
        <v>1</v>
      </c>
      <c r="Q104" s="16">
        <v>1</v>
      </c>
      <c r="R104" s="16">
        <v>1</v>
      </c>
      <c r="S104" s="16">
        <v>1</v>
      </c>
      <c r="T104" s="16">
        <v>1</v>
      </c>
      <c r="U104" s="16">
        <v>1</v>
      </c>
      <c r="V104" s="16">
        <v>1</v>
      </c>
      <c r="W104" s="16">
        <v>1</v>
      </c>
      <c r="X104" s="16">
        <v>1</v>
      </c>
      <c r="Y104" s="16">
        <v>1</v>
      </c>
      <c r="Z104" s="16">
        <v>1</v>
      </c>
      <c r="AA104" s="16">
        <v>1</v>
      </c>
      <c r="AB104" s="16">
        <v>1</v>
      </c>
      <c r="AC104" s="16">
        <v>1</v>
      </c>
      <c r="AD104" s="16">
        <v>1</v>
      </c>
      <c r="AE104" s="16">
        <v>1</v>
      </c>
      <c r="AF104" s="16">
        <v>1</v>
      </c>
      <c r="AG104" s="16">
        <v>2</v>
      </c>
      <c r="AH104" s="16">
        <v>1</v>
      </c>
      <c r="AI104" s="16">
        <v>1</v>
      </c>
      <c r="AJ104" s="16">
        <v>1</v>
      </c>
      <c r="AK104" s="16">
        <v>1</v>
      </c>
      <c r="AL104" s="16">
        <v>1</v>
      </c>
      <c r="AM104" s="16">
        <v>1</v>
      </c>
      <c r="AN104" s="16">
        <v>1</v>
      </c>
      <c r="AO104" s="16">
        <v>1</v>
      </c>
      <c r="AP104" s="16">
        <v>1</v>
      </c>
      <c r="AQ104" s="16">
        <v>1</v>
      </c>
      <c r="AR104" s="16">
        <v>1</v>
      </c>
      <c r="AS104" s="16">
        <v>1</v>
      </c>
      <c r="AT104" s="16">
        <v>1</v>
      </c>
      <c r="AU104" s="16">
        <v>1</v>
      </c>
      <c r="AV104" s="16">
        <v>1</v>
      </c>
      <c r="AW104" s="16" t="s">
        <v>195</v>
      </c>
      <c r="AX104" s="1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1</v>
      </c>
    </row>
    <row r="105" spans="1:50" hidden="1">
      <c r="A105">
        <v>104</v>
      </c>
      <c r="B105" t="s">
        <v>189</v>
      </c>
      <c r="C105" s="10">
        <v>39101329</v>
      </c>
      <c r="D105" t="s">
        <v>196</v>
      </c>
      <c r="E105">
        <v>2</v>
      </c>
      <c r="F105">
        <v>1</v>
      </c>
      <c r="G105">
        <v>1</v>
      </c>
      <c r="H105">
        <v>1</v>
      </c>
      <c r="I105">
        <v>1</v>
      </c>
      <c r="J105">
        <v>1</v>
      </c>
      <c r="K105">
        <v>1</v>
      </c>
      <c r="L105">
        <v>1</v>
      </c>
      <c r="M105">
        <v>1</v>
      </c>
      <c r="N105">
        <v>1</v>
      </c>
      <c r="O105">
        <v>1</v>
      </c>
      <c r="P105">
        <v>0</v>
      </c>
      <c r="Q105" t="s">
        <v>70</v>
      </c>
      <c r="R105" t="s">
        <v>70</v>
      </c>
      <c r="S105">
        <v>0</v>
      </c>
      <c r="T105" t="s">
        <v>70</v>
      </c>
      <c r="U105" t="s">
        <v>70</v>
      </c>
      <c r="V105">
        <v>0</v>
      </c>
      <c r="W105" t="s">
        <v>70</v>
      </c>
      <c r="X105" t="s">
        <v>70</v>
      </c>
      <c r="Y105">
        <v>1</v>
      </c>
      <c r="Z105">
        <v>1</v>
      </c>
      <c r="AA105">
        <v>1</v>
      </c>
      <c r="AB105">
        <v>1</v>
      </c>
      <c r="AC105">
        <v>1</v>
      </c>
      <c r="AD105">
        <v>1</v>
      </c>
      <c r="AE105">
        <v>1</v>
      </c>
      <c r="AF105">
        <v>1</v>
      </c>
      <c r="AG105">
        <v>1</v>
      </c>
      <c r="AH105">
        <v>1</v>
      </c>
      <c r="AI105">
        <v>1</v>
      </c>
      <c r="AJ105">
        <v>1</v>
      </c>
      <c r="AK105">
        <v>1</v>
      </c>
      <c r="AL105">
        <v>1</v>
      </c>
      <c r="AM105">
        <v>1</v>
      </c>
      <c r="AN105">
        <v>1</v>
      </c>
      <c r="AO105">
        <v>1</v>
      </c>
      <c r="AP105">
        <v>1</v>
      </c>
      <c r="AQ105">
        <v>1</v>
      </c>
      <c r="AR105">
        <v>1</v>
      </c>
      <c r="AS105">
        <v>1</v>
      </c>
      <c r="AT105">
        <v>1</v>
      </c>
      <c r="AU105">
        <v>1</v>
      </c>
      <c r="AV105">
        <v>1</v>
      </c>
      <c r="AX105">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06" spans="1:50" hidden="1">
      <c r="A106">
        <v>105</v>
      </c>
      <c r="B106" t="s">
        <v>189</v>
      </c>
      <c r="C106" s="10">
        <v>39098876</v>
      </c>
      <c r="D106" t="s">
        <v>52</v>
      </c>
      <c r="E106">
        <v>2</v>
      </c>
      <c r="F106">
        <v>0</v>
      </c>
      <c r="G106">
        <v>1</v>
      </c>
      <c r="H106">
        <v>1</v>
      </c>
      <c r="I106">
        <v>1</v>
      </c>
      <c r="J106">
        <v>1</v>
      </c>
      <c r="K106">
        <v>1</v>
      </c>
      <c r="L106">
        <v>1</v>
      </c>
      <c r="M106">
        <v>1</v>
      </c>
      <c r="N106">
        <v>1</v>
      </c>
      <c r="O106">
        <v>1</v>
      </c>
      <c r="P106">
        <v>1</v>
      </c>
      <c r="Q106">
        <v>1</v>
      </c>
      <c r="R106">
        <v>1</v>
      </c>
      <c r="S106">
        <v>0</v>
      </c>
      <c r="T106" t="s">
        <v>70</v>
      </c>
      <c r="U106" t="s">
        <v>70</v>
      </c>
      <c r="V106">
        <v>0</v>
      </c>
      <c r="W106" t="s">
        <v>70</v>
      </c>
      <c r="X106" t="s">
        <v>70</v>
      </c>
      <c r="Y106">
        <v>1</v>
      </c>
      <c r="Z106">
        <v>1</v>
      </c>
      <c r="AA106">
        <v>1</v>
      </c>
      <c r="AB106">
        <v>1</v>
      </c>
      <c r="AC106">
        <v>1</v>
      </c>
      <c r="AD106">
        <v>1</v>
      </c>
      <c r="AE106">
        <v>1</v>
      </c>
      <c r="AF106">
        <v>2</v>
      </c>
      <c r="AG106">
        <v>1</v>
      </c>
      <c r="AH106">
        <v>1</v>
      </c>
      <c r="AI106">
        <v>1</v>
      </c>
      <c r="AJ106">
        <v>1</v>
      </c>
      <c r="AK106">
        <v>1</v>
      </c>
      <c r="AL106">
        <v>1</v>
      </c>
      <c r="AM106">
        <v>1</v>
      </c>
      <c r="AN106">
        <v>0</v>
      </c>
      <c r="AO106" t="s">
        <v>70</v>
      </c>
      <c r="AP106" t="s">
        <v>70</v>
      </c>
      <c r="AQ106">
        <v>1</v>
      </c>
      <c r="AR106">
        <v>1</v>
      </c>
      <c r="AS106">
        <v>1</v>
      </c>
      <c r="AT106">
        <v>1</v>
      </c>
      <c r="AU106">
        <v>1</v>
      </c>
      <c r="AV106">
        <v>1</v>
      </c>
      <c r="AX10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07" spans="1:50" hidden="1">
      <c r="A107">
        <v>106</v>
      </c>
      <c r="B107" t="s">
        <v>189</v>
      </c>
      <c r="C107" s="10">
        <v>39098825</v>
      </c>
      <c r="D107" t="s">
        <v>197</v>
      </c>
      <c r="E107">
        <v>2</v>
      </c>
      <c r="F107">
        <v>0</v>
      </c>
      <c r="G107">
        <v>1</v>
      </c>
      <c r="H107">
        <v>1</v>
      </c>
      <c r="I107">
        <v>1</v>
      </c>
      <c r="J107">
        <v>1</v>
      </c>
      <c r="K107">
        <v>1</v>
      </c>
      <c r="L107">
        <v>1</v>
      </c>
      <c r="M107">
        <v>1</v>
      </c>
      <c r="N107">
        <v>1</v>
      </c>
      <c r="O107">
        <v>1</v>
      </c>
      <c r="P107">
        <v>1</v>
      </c>
      <c r="Q107">
        <v>1</v>
      </c>
      <c r="R107">
        <v>1</v>
      </c>
      <c r="S107">
        <v>0</v>
      </c>
      <c r="T107" t="s">
        <v>70</v>
      </c>
      <c r="U107" t="s">
        <v>70</v>
      </c>
      <c r="V107">
        <v>0</v>
      </c>
      <c r="W107" t="s">
        <v>70</v>
      </c>
      <c r="X107" t="s">
        <v>70</v>
      </c>
      <c r="Y107">
        <v>1</v>
      </c>
      <c r="Z107">
        <v>1</v>
      </c>
      <c r="AA107">
        <v>1</v>
      </c>
      <c r="AB107">
        <v>1</v>
      </c>
      <c r="AC107">
        <v>1</v>
      </c>
      <c r="AD107">
        <v>1</v>
      </c>
      <c r="AE107">
        <v>0</v>
      </c>
      <c r="AF107" t="s">
        <v>70</v>
      </c>
      <c r="AG107" t="s">
        <v>70</v>
      </c>
      <c r="AH107">
        <v>1</v>
      </c>
      <c r="AI107">
        <v>1</v>
      </c>
      <c r="AJ107">
        <v>1</v>
      </c>
      <c r="AK107">
        <v>1</v>
      </c>
      <c r="AL107">
        <v>1</v>
      </c>
      <c r="AM107">
        <v>1</v>
      </c>
      <c r="AN107">
        <v>0</v>
      </c>
      <c r="AO107" t="s">
        <v>70</v>
      </c>
      <c r="AP107" t="s">
        <v>70</v>
      </c>
      <c r="AQ107">
        <v>1</v>
      </c>
      <c r="AR107">
        <v>1</v>
      </c>
      <c r="AS107">
        <v>1</v>
      </c>
      <c r="AT107">
        <v>1</v>
      </c>
      <c r="AU107">
        <v>1</v>
      </c>
      <c r="AV107">
        <v>1</v>
      </c>
      <c r="AX107">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08" spans="1:50" hidden="1">
      <c r="A108">
        <v>107</v>
      </c>
      <c r="B108" t="s">
        <v>189</v>
      </c>
      <c r="C108" s="10">
        <v>39099715</v>
      </c>
      <c r="D108" t="s">
        <v>198</v>
      </c>
      <c r="E108">
        <v>1</v>
      </c>
      <c r="F108">
        <v>0</v>
      </c>
      <c r="G108">
        <v>1</v>
      </c>
      <c r="H108">
        <v>1</v>
      </c>
      <c r="I108">
        <v>1</v>
      </c>
      <c r="J108">
        <v>1</v>
      </c>
      <c r="K108">
        <v>1</v>
      </c>
      <c r="L108">
        <v>1</v>
      </c>
      <c r="M108">
        <v>1</v>
      </c>
      <c r="N108">
        <v>1</v>
      </c>
      <c r="O108">
        <v>1</v>
      </c>
      <c r="P108">
        <v>1</v>
      </c>
      <c r="Q108">
        <v>1</v>
      </c>
      <c r="R108">
        <v>1</v>
      </c>
      <c r="S108">
        <v>0</v>
      </c>
      <c r="T108" t="s">
        <v>70</v>
      </c>
      <c r="U108" t="s">
        <v>70</v>
      </c>
      <c r="V108">
        <v>0</v>
      </c>
      <c r="W108" t="s">
        <v>70</v>
      </c>
      <c r="X108" t="s">
        <v>70</v>
      </c>
      <c r="Y108">
        <v>1</v>
      </c>
      <c r="Z108">
        <v>1</v>
      </c>
      <c r="AA108">
        <v>1</v>
      </c>
      <c r="AB108">
        <v>1</v>
      </c>
      <c r="AC108">
        <v>1</v>
      </c>
      <c r="AD108">
        <v>1</v>
      </c>
      <c r="AE108">
        <v>0</v>
      </c>
      <c r="AF108" t="s">
        <v>70</v>
      </c>
      <c r="AG108" t="s">
        <v>70</v>
      </c>
      <c r="AH108">
        <v>1</v>
      </c>
      <c r="AI108">
        <v>1</v>
      </c>
      <c r="AJ108">
        <v>1</v>
      </c>
      <c r="AK108">
        <v>1</v>
      </c>
      <c r="AL108">
        <v>1</v>
      </c>
      <c r="AM108">
        <v>1</v>
      </c>
      <c r="AN108">
        <v>0</v>
      </c>
      <c r="AO108" t="s">
        <v>70</v>
      </c>
      <c r="AP108" t="s">
        <v>70</v>
      </c>
      <c r="AQ108">
        <v>1</v>
      </c>
      <c r="AR108">
        <v>1</v>
      </c>
      <c r="AS108">
        <v>1</v>
      </c>
      <c r="AT108">
        <v>1</v>
      </c>
      <c r="AU108">
        <v>1</v>
      </c>
      <c r="AV108">
        <v>1</v>
      </c>
      <c r="AX108">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09" spans="1:50" hidden="1">
      <c r="A109">
        <v>108</v>
      </c>
      <c r="B109" t="s">
        <v>189</v>
      </c>
      <c r="C109" s="10">
        <v>38138014</v>
      </c>
      <c r="D109" t="s">
        <v>166</v>
      </c>
      <c r="E109">
        <v>1</v>
      </c>
      <c r="F109">
        <v>0</v>
      </c>
      <c r="G109">
        <v>1</v>
      </c>
      <c r="H109">
        <v>1</v>
      </c>
      <c r="I109">
        <v>1</v>
      </c>
      <c r="J109">
        <v>1</v>
      </c>
      <c r="K109">
        <v>1</v>
      </c>
      <c r="L109">
        <v>1</v>
      </c>
      <c r="M109">
        <v>1</v>
      </c>
      <c r="N109">
        <v>1</v>
      </c>
      <c r="O109">
        <v>1</v>
      </c>
      <c r="P109">
        <v>0</v>
      </c>
      <c r="Q109" t="s">
        <v>70</v>
      </c>
      <c r="R109" t="s">
        <v>70</v>
      </c>
      <c r="S109">
        <v>1</v>
      </c>
      <c r="T109">
        <v>1</v>
      </c>
      <c r="U109">
        <v>1</v>
      </c>
      <c r="V109">
        <v>1</v>
      </c>
      <c r="W109">
        <v>1</v>
      </c>
      <c r="X109">
        <v>1</v>
      </c>
      <c r="Y109">
        <v>1</v>
      </c>
      <c r="Z109">
        <v>1</v>
      </c>
      <c r="AA109">
        <v>1</v>
      </c>
      <c r="AB109">
        <v>1</v>
      </c>
      <c r="AC109">
        <v>1</v>
      </c>
      <c r="AD109">
        <v>1</v>
      </c>
      <c r="AE109">
        <v>1</v>
      </c>
      <c r="AF109">
        <v>2</v>
      </c>
      <c r="AG109">
        <v>1</v>
      </c>
      <c r="AH109">
        <v>1</v>
      </c>
      <c r="AI109">
        <v>1</v>
      </c>
      <c r="AJ109">
        <v>1</v>
      </c>
      <c r="AK109">
        <v>1</v>
      </c>
      <c r="AL109">
        <v>1</v>
      </c>
      <c r="AM109">
        <v>1</v>
      </c>
      <c r="AN109">
        <v>1</v>
      </c>
      <c r="AO109">
        <v>1</v>
      </c>
      <c r="AP109">
        <v>1</v>
      </c>
      <c r="AQ109">
        <v>1</v>
      </c>
      <c r="AR109">
        <v>1</v>
      </c>
      <c r="AS109">
        <v>1</v>
      </c>
      <c r="AT109">
        <v>1</v>
      </c>
      <c r="AU109">
        <v>1</v>
      </c>
      <c r="AV109">
        <v>1</v>
      </c>
      <c r="AX109">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10" spans="1:50" hidden="1">
      <c r="A110">
        <v>109</v>
      </c>
      <c r="B110" t="s">
        <v>189</v>
      </c>
      <c r="C110" s="10">
        <v>39096525</v>
      </c>
      <c r="D110" t="s">
        <v>199</v>
      </c>
      <c r="E110">
        <v>1</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c r="AD110">
        <v>1</v>
      </c>
      <c r="AE110">
        <v>1</v>
      </c>
      <c r="AF110">
        <v>2</v>
      </c>
      <c r="AG110">
        <v>1</v>
      </c>
      <c r="AH110">
        <v>1</v>
      </c>
      <c r="AI110">
        <v>1</v>
      </c>
      <c r="AJ110">
        <v>1</v>
      </c>
      <c r="AK110">
        <v>1</v>
      </c>
      <c r="AL110">
        <v>1</v>
      </c>
      <c r="AM110">
        <v>1</v>
      </c>
      <c r="AN110">
        <v>1</v>
      </c>
      <c r="AO110">
        <v>1</v>
      </c>
      <c r="AP110">
        <v>1</v>
      </c>
      <c r="AQ110">
        <v>1</v>
      </c>
      <c r="AR110">
        <v>1</v>
      </c>
      <c r="AS110">
        <v>1</v>
      </c>
      <c r="AT110">
        <v>1</v>
      </c>
      <c r="AU110">
        <v>1</v>
      </c>
      <c r="AV110">
        <v>1</v>
      </c>
      <c r="AX110">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11" spans="1:50" hidden="1">
      <c r="A111">
        <v>110</v>
      </c>
      <c r="B111" t="s">
        <v>189</v>
      </c>
      <c r="C111" s="10">
        <v>39097419</v>
      </c>
      <c r="D111" t="s">
        <v>200</v>
      </c>
      <c r="E111">
        <v>1</v>
      </c>
      <c r="F111">
        <v>0</v>
      </c>
      <c r="G111">
        <v>1</v>
      </c>
      <c r="H111">
        <v>1</v>
      </c>
      <c r="I111">
        <v>1</v>
      </c>
      <c r="J111">
        <v>1</v>
      </c>
      <c r="K111">
        <v>1</v>
      </c>
      <c r="L111">
        <v>1</v>
      </c>
      <c r="M111">
        <v>1</v>
      </c>
      <c r="N111">
        <v>1</v>
      </c>
      <c r="O111">
        <v>1</v>
      </c>
      <c r="P111">
        <v>0</v>
      </c>
      <c r="Q111" t="s">
        <v>70</v>
      </c>
      <c r="R111" t="s">
        <v>70</v>
      </c>
      <c r="S111">
        <v>0</v>
      </c>
      <c r="T111" t="s">
        <v>70</v>
      </c>
      <c r="U111" t="s">
        <v>70</v>
      </c>
      <c r="V111">
        <v>0</v>
      </c>
      <c r="W111" t="s">
        <v>70</v>
      </c>
      <c r="X111" t="s">
        <v>70</v>
      </c>
      <c r="Y111">
        <v>1</v>
      </c>
      <c r="Z111">
        <v>1</v>
      </c>
      <c r="AA111">
        <v>1</v>
      </c>
      <c r="AB111">
        <v>1</v>
      </c>
      <c r="AC111">
        <v>1</v>
      </c>
      <c r="AD111">
        <v>1</v>
      </c>
      <c r="AE111">
        <v>1</v>
      </c>
      <c r="AF111">
        <v>1</v>
      </c>
      <c r="AG111">
        <v>1</v>
      </c>
      <c r="AH111">
        <v>1</v>
      </c>
      <c r="AI111">
        <v>1</v>
      </c>
      <c r="AJ111">
        <v>1</v>
      </c>
      <c r="AK111">
        <v>1</v>
      </c>
      <c r="AL111">
        <v>1</v>
      </c>
      <c r="AM111">
        <v>1</v>
      </c>
      <c r="AN111">
        <v>1</v>
      </c>
      <c r="AO111">
        <v>1</v>
      </c>
      <c r="AP111">
        <v>2</v>
      </c>
      <c r="AQ111">
        <v>1</v>
      </c>
      <c r="AR111">
        <v>1</v>
      </c>
      <c r="AS111">
        <v>1</v>
      </c>
      <c r="AT111">
        <v>1</v>
      </c>
      <c r="AU111">
        <v>1</v>
      </c>
      <c r="AV111">
        <v>1</v>
      </c>
      <c r="AW111" t="s">
        <v>201</v>
      </c>
      <c r="AX111">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12" spans="1:50" hidden="1">
      <c r="A112">
        <v>111</v>
      </c>
      <c r="B112" t="s">
        <v>202</v>
      </c>
      <c r="C112" s="10">
        <v>39098808</v>
      </c>
      <c r="D112" t="s">
        <v>175</v>
      </c>
      <c r="E112">
        <v>1</v>
      </c>
      <c r="F112">
        <v>0</v>
      </c>
      <c r="G112">
        <v>1</v>
      </c>
      <c r="H112">
        <v>1</v>
      </c>
      <c r="I112">
        <v>1</v>
      </c>
      <c r="J112">
        <v>1</v>
      </c>
      <c r="K112">
        <v>1</v>
      </c>
      <c r="L112">
        <v>1</v>
      </c>
      <c r="M112">
        <v>1</v>
      </c>
      <c r="N112">
        <v>1</v>
      </c>
      <c r="O112">
        <v>1</v>
      </c>
      <c r="P112">
        <v>0</v>
      </c>
      <c r="Q112" t="s">
        <v>70</v>
      </c>
      <c r="R112" t="s">
        <v>70</v>
      </c>
      <c r="S112">
        <v>0</v>
      </c>
      <c r="T112" t="s">
        <v>70</v>
      </c>
      <c r="U112" t="s">
        <v>70</v>
      </c>
      <c r="V112">
        <v>0</v>
      </c>
      <c r="W112" t="s">
        <v>70</v>
      </c>
      <c r="X112" t="s">
        <v>70</v>
      </c>
      <c r="Y112">
        <v>1</v>
      </c>
      <c r="Z112">
        <v>1</v>
      </c>
      <c r="AA112">
        <v>1</v>
      </c>
      <c r="AB112">
        <v>1</v>
      </c>
      <c r="AC112">
        <v>1</v>
      </c>
      <c r="AD112">
        <v>1</v>
      </c>
      <c r="AE112">
        <v>0</v>
      </c>
      <c r="AF112" t="s">
        <v>70</v>
      </c>
      <c r="AG112" t="s">
        <v>70</v>
      </c>
      <c r="AH112">
        <v>1</v>
      </c>
      <c r="AI112">
        <v>1</v>
      </c>
      <c r="AJ112">
        <v>1</v>
      </c>
      <c r="AK112">
        <v>1</v>
      </c>
      <c r="AL112">
        <v>1</v>
      </c>
      <c r="AM112">
        <v>1</v>
      </c>
      <c r="AN112">
        <v>0</v>
      </c>
      <c r="AO112" t="s">
        <v>70</v>
      </c>
      <c r="AP112" t="s">
        <v>70</v>
      </c>
      <c r="AQ112">
        <v>1</v>
      </c>
      <c r="AR112">
        <v>1</v>
      </c>
      <c r="AS112">
        <v>1</v>
      </c>
      <c r="AT112">
        <v>1</v>
      </c>
      <c r="AU112">
        <v>1</v>
      </c>
      <c r="AV112">
        <v>2</v>
      </c>
      <c r="AW112" t="s">
        <v>203</v>
      </c>
      <c r="AX112">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13" spans="1:50" hidden="1">
      <c r="A113">
        <v>112</v>
      </c>
      <c r="B113" t="s">
        <v>202</v>
      </c>
      <c r="C113" s="10">
        <v>39098213</v>
      </c>
      <c r="D113" t="s">
        <v>132</v>
      </c>
      <c r="E113">
        <v>1</v>
      </c>
      <c r="F113">
        <v>0</v>
      </c>
      <c r="G113">
        <v>1</v>
      </c>
      <c r="H113">
        <v>1</v>
      </c>
      <c r="I113">
        <v>1</v>
      </c>
      <c r="J113">
        <v>1</v>
      </c>
      <c r="K113">
        <v>1</v>
      </c>
      <c r="L113">
        <v>1</v>
      </c>
      <c r="M113">
        <v>1</v>
      </c>
      <c r="N113">
        <v>1</v>
      </c>
      <c r="O113">
        <v>1</v>
      </c>
      <c r="P113">
        <v>0</v>
      </c>
      <c r="Q113" t="s">
        <v>70</v>
      </c>
      <c r="R113" t="s">
        <v>70</v>
      </c>
      <c r="S113">
        <v>0</v>
      </c>
      <c r="T113" t="s">
        <v>70</v>
      </c>
      <c r="U113" t="s">
        <v>70</v>
      </c>
      <c r="V113">
        <v>0</v>
      </c>
      <c r="W113" t="s">
        <v>70</v>
      </c>
      <c r="X113" t="s">
        <v>70</v>
      </c>
      <c r="Y113">
        <v>1</v>
      </c>
      <c r="Z113">
        <v>1</v>
      </c>
      <c r="AA113">
        <v>1</v>
      </c>
      <c r="AB113">
        <v>1</v>
      </c>
      <c r="AC113">
        <v>1</v>
      </c>
      <c r="AD113">
        <v>1</v>
      </c>
      <c r="AE113">
        <v>1</v>
      </c>
      <c r="AF113">
        <v>2</v>
      </c>
      <c r="AG113">
        <v>1</v>
      </c>
      <c r="AH113">
        <v>1</v>
      </c>
      <c r="AI113">
        <v>1</v>
      </c>
      <c r="AJ113">
        <v>1</v>
      </c>
      <c r="AK113">
        <v>1</v>
      </c>
      <c r="AL113">
        <v>1</v>
      </c>
      <c r="AM113">
        <v>1</v>
      </c>
      <c r="AN113">
        <v>1</v>
      </c>
      <c r="AO113">
        <v>2</v>
      </c>
      <c r="AP113">
        <v>1</v>
      </c>
      <c r="AQ113">
        <v>1</v>
      </c>
      <c r="AR113">
        <v>1</v>
      </c>
      <c r="AS113">
        <v>1</v>
      </c>
      <c r="AT113">
        <v>1</v>
      </c>
      <c r="AU113">
        <v>1</v>
      </c>
      <c r="AV113">
        <v>1</v>
      </c>
      <c r="AX113">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14" spans="1:50" hidden="1">
      <c r="A114">
        <v>113</v>
      </c>
      <c r="B114" t="s">
        <v>202</v>
      </c>
      <c r="C114" s="10">
        <v>39096961</v>
      </c>
      <c r="D114" t="s">
        <v>204</v>
      </c>
      <c r="E114">
        <v>1</v>
      </c>
      <c r="F114">
        <v>0</v>
      </c>
      <c r="G114">
        <v>1</v>
      </c>
      <c r="H114">
        <v>1</v>
      </c>
      <c r="I114">
        <v>1</v>
      </c>
      <c r="J114">
        <v>1</v>
      </c>
      <c r="K114">
        <v>1</v>
      </c>
      <c r="L114">
        <v>1</v>
      </c>
      <c r="M114">
        <v>1</v>
      </c>
      <c r="N114">
        <v>1</v>
      </c>
      <c r="O114">
        <v>1</v>
      </c>
      <c r="P114">
        <v>1</v>
      </c>
      <c r="Q114">
        <v>1</v>
      </c>
      <c r="R114">
        <v>1</v>
      </c>
      <c r="S114">
        <v>0</v>
      </c>
      <c r="T114" t="s">
        <v>70</v>
      </c>
      <c r="U114" t="s">
        <v>70</v>
      </c>
      <c r="V114">
        <v>0</v>
      </c>
      <c r="W114" t="s">
        <v>70</v>
      </c>
      <c r="X114" t="s">
        <v>70</v>
      </c>
      <c r="Y114">
        <v>1</v>
      </c>
      <c r="Z114">
        <v>1</v>
      </c>
      <c r="AA114">
        <v>1</v>
      </c>
      <c r="AB114">
        <v>1</v>
      </c>
      <c r="AC114">
        <v>1</v>
      </c>
      <c r="AD114">
        <v>1</v>
      </c>
      <c r="AE114">
        <v>1</v>
      </c>
      <c r="AF114">
        <v>2</v>
      </c>
      <c r="AG114">
        <v>1</v>
      </c>
      <c r="AH114">
        <v>1</v>
      </c>
      <c r="AI114">
        <v>1</v>
      </c>
      <c r="AJ114">
        <v>1</v>
      </c>
      <c r="AK114">
        <v>1</v>
      </c>
      <c r="AL114">
        <v>1</v>
      </c>
      <c r="AM114">
        <v>1</v>
      </c>
      <c r="AN114">
        <v>1</v>
      </c>
      <c r="AO114">
        <v>2</v>
      </c>
      <c r="AP114">
        <v>1</v>
      </c>
      <c r="AQ114">
        <v>1</v>
      </c>
      <c r="AR114">
        <v>1</v>
      </c>
      <c r="AS114">
        <v>1</v>
      </c>
      <c r="AT114">
        <v>1</v>
      </c>
      <c r="AU114">
        <v>1</v>
      </c>
      <c r="AV114">
        <v>1</v>
      </c>
      <c r="AW114" t="s">
        <v>205</v>
      </c>
      <c r="AX114">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15" spans="1:50" hidden="1">
      <c r="A115">
        <v>114</v>
      </c>
      <c r="B115" t="s">
        <v>202</v>
      </c>
      <c r="C115" s="10">
        <v>39096943</v>
      </c>
      <c r="D115" t="s">
        <v>147</v>
      </c>
      <c r="E115">
        <v>1</v>
      </c>
      <c r="F115">
        <v>0</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c r="AD115">
        <v>1</v>
      </c>
      <c r="AE115">
        <v>1</v>
      </c>
      <c r="AF115">
        <v>1</v>
      </c>
      <c r="AG115">
        <v>1</v>
      </c>
      <c r="AH115">
        <v>1</v>
      </c>
      <c r="AI115">
        <v>1</v>
      </c>
      <c r="AJ115">
        <v>1</v>
      </c>
      <c r="AK115">
        <v>1</v>
      </c>
      <c r="AL115">
        <v>1</v>
      </c>
      <c r="AM115">
        <v>1</v>
      </c>
      <c r="AN115">
        <v>1</v>
      </c>
      <c r="AO115">
        <v>2</v>
      </c>
      <c r="AP115">
        <v>1</v>
      </c>
      <c r="AQ115">
        <v>1</v>
      </c>
      <c r="AR115">
        <v>1</v>
      </c>
      <c r="AS115">
        <v>1</v>
      </c>
      <c r="AT115">
        <v>1</v>
      </c>
      <c r="AU115">
        <v>1</v>
      </c>
      <c r="AV115">
        <v>2</v>
      </c>
      <c r="AW115" t="s">
        <v>206</v>
      </c>
      <c r="AX115">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16" spans="1:50" hidden="1">
      <c r="A116">
        <v>115</v>
      </c>
      <c r="B116" t="s">
        <v>202</v>
      </c>
      <c r="C116" s="10">
        <v>39095269</v>
      </c>
      <c r="D116" t="s">
        <v>207</v>
      </c>
      <c r="E116">
        <v>1</v>
      </c>
      <c r="F116">
        <v>0</v>
      </c>
      <c r="G116">
        <v>1</v>
      </c>
      <c r="H116">
        <v>1</v>
      </c>
      <c r="I116">
        <v>1</v>
      </c>
      <c r="J116">
        <v>1</v>
      </c>
      <c r="K116">
        <v>1</v>
      </c>
      <c r="L116">
        <v>1</v>
      </c>
      <c r="M116">
        <v>1</v>
      </c>
      <c r="N116">
        <v>1</v>
      </c>
      <c r="O116">
        <v>1</v>
      </c>
      <c r="P116">
        <v>1</v>
      </c>
      <c r="Q116">
        <v>1</v>
      </c>
      <c r="R116">
        <v>1</v>
      </c>
      <c r="S116">
        <v>0</v>
      </c>
      <c r="T116" t="s">
        <v>70</v>
      </c>
      <c r="U116" t="s">
        <v>70</v>
      </c>
      <c r="V116">
        <v>0</v>
      </c>
      <c r="W116" t="s">
        <v>70</v>
      </c>
      <c r="X116" t="s">
        <v>70</v>
      </c>
      <c r="Y116">
        <v>1</v>
      </c>
      <c r="Z116">
        <v>1</v>
      </c>
      <c r="AA116">
        <v>1</v>
      </c>
      <c r="AB116">
        <v>1</v>
      </c>
      <c r="AC116">
        <v>1</v>
      </c>
      <c r="AD116">
        <v>1</v>
      </c>
      <c r="AE116">
        <v>1</v>
      </c>
      <c r="AF116">
        <v>2</v>
      </c>
      <c r="AG116">
        <v>1</v>
      </c>
      <c r="AH116">
        <v>1</v>
      </c>
      <c r="AI116">
        <v>1</v>
      </c>
      <c r="AJ116">
        <v>1</v>
      </c>
      <c r="AK116">
        <v>1</v>
      </c>
      <c r="AL116">
        <v>1</v>
      </c>
      <c r="AM116">
        <v>1</v>
      </c>
      <c r="AN116">
        <v>1</v>
      </c>
      <c r="AO116">
        <v>2</v>
      </c>
      <c r="AP116">
        <v>1</v>
      </c>
      <c r="AQ116">
        <v>1</v>
      </c>
      <c r="AR116">
        <v>1</v>
      </c>
      <c r="AS116">
        <v>1</v>
      </c>
      <c r="AT116">
        <v>1</v>
      </c>
      <c r="AU116">
        <v>1</v>
      </c>
      <c r="AV116">
        <v>1</v>
      </c>
      <c r="AX11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17" spans="1:50" hidden="1">
      <c r="A117">
        <v>116</v>
      </c>
      <c r="B117" t="s">
        <v>202</v>
      </c>
      <c r="C117" s="10">
        <v>39090811</v>
      </c>
      <c r="D117" t="s">
        <v>208</v>
      </c>
      <c r="E117">
        <v>1</v>
      </c>
      <c r="F117">
        <v>0</v>
      </c>
      <c r="G117">
        <v>1</v>
      </c>
      <c r="H117">
        <v>1</v>
      </c>
      <c r="I117">
        <v>1</v>
      </c>
      <c r="J117">
        <v>1</v>
      </c>
      <c r="K117">
        <v>1</v>
      </c>
      <c r="L117">
        <v>1</v>
      </c>
      <c r="M117">
        <v>1</v>
      </c>
      <c r="N117">
        <v>1</v>
      </c>
      <c r="O117">
        <v>1</v>
      </c>
      <c r="P117">
        <v>0</v>
      </c>
      <c r="Q117" t="s">
        <v>70</v>
      </c>
      <c r="R117" t="s">
        <v>70</v>
      </c>
      <c r="S117">
        <v>0</v>
      </c>
      <c r="T117" t="s">
        <v>70</v>
      </c>
      <c r="U117" t="s">
        <v>70</v>
      </c>
      <c r="V117">
        <v>0</v>
      </c>
      <c r="W117" t="s">
        <v>70</v>
      </c>
      <c r="X117" t="s">
        <v>70</v>
      </c>
      <c r="Y117">
        <v>1</v>
      </c>
      <c r="Z117">
        <v>1</v>
      </c>
      <c r="AA117">
        <v>1</v>
      </c>
      <c r="AB117">
        <v>1</v>
      </c>
      <c r="AC117">
        <v>1</v>
      </c>
      <c r="AD117">
        <v>1</v>
      </c>
      <c r="AE117">
        <v>1</v>
      </c>
      <c r="AF117">
        <v>1</v>
      </c>
      <c r="AG117">
        <v>1</v>
      </c>
      <c r="AH117">
        <v>1</v>
      </c>
      <c r="AI117">
        <v>1</v>
      </c>
      <c r="AJ117">
        <v>1</v>
      </c>
      <c r="AK117">
        <v>1</v>
      </c>
      <c r="AL117">
        <v>1</v>
      </c>
      <c r="AM117">
        <v>1</v>
      </c>
      <c r="AN117">
        <v>0</v>
      </c>
      <c r="AO117" t="s">
        <v>70</v>
      </c>
      <c r="AP117" t="s">
        <v>70</v>
      </c>
      <c r="AQ117">
        <v>1</v>
      </c>
      <c r="AR117">
        <v>1</v>
      </c>
      <c r="AS117">
        <v>1</v>
      </c>
      <c r="AT117">
        <v>1</v>
      </c>
      <c r="AU117">
        <v>1</v>
      </c>
      <c r="AV117">
        <v>1</v>
      </c>
      <c r="AX117">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18" spans="1:50" s="16" customFormat="1">
      <c r="A118" s="16">
        <v>117</v>
      </c>
      <c r="B118" s="16" t="s">
        <v>202</v>
      </c>
      <c r="C118" s="17">
        <v>39094834</v>
      </c>
      <c r="D118" s="16" t="s">
        <v>209</v>
      </c>
      <c r="E118" s="16">
        <v>1</v>
      </c>
      <c r="F118" s="16">
        <v>0</v>
      </c>
      <c r="G118" s="16">
        <v>1</v>
      </c>
      <c r="H118" s="16">
        <v>1</v>
      </c>
      <c r="I118" s="16">
        <v>1</v>
      </c>
      <c r="J118" s="16">
        <v>1</v>
      </c>
      <c r="K118" s="16">
        <v>1</v>
      </c>
      <c r="L118" s="16">
        <v>1</v>
      </c>
      <c r="M118" s="16">
        <v>1</v>
      </c>
      <c r="N118" s="16">
        <v>1</v>
      </c>
      <c r="O118" s="16">
        <v>1</v>
      </c>
      <c r="P118" s="16">
        <v>1</v>
      </c>
      <c r="Q118" s="16">
        <v>1</v>
      </c>
      <c r="R118" s="16">
        <v>1</v>
      </c>
      <c r="S118" s="16">
        <v>0</v>
      </c>
      <c r="T118" s="16" t="s">
        <v>70</v>
      </c>
      <c r="U118" s="16" t="s">
        <v>70</v>
      </c>
      <c r="V118" s="16">
        <v>0</v>
      </c>
      <c r="W118" s="16" t="s">
        <v>70</v>
      </c>
      <c r="X118" s="16" t="s">
        <v>70</v>
      </c>
      <c r="Y118" s="16">
        <v>1</v>
      </c>
      <c r="Z118" s="16">
        <v>1</v>
      </c>
      <c r="AA118" s="16">
        <v>1</v>
      </c>
      <c r="AB118" s="16">
        <v>1</v>
      </c>
      <c r="AC118" s="16">
        <v>1</v>
      </c>
      <c r="AD118" s="16">
        <v>1</v>
      </c>
      <c r="AE118" s="16">
        <v>1</v>
      </c>
      <c r="AF118" s="16">
        <v>2</v>
      </c>
      <c r="AG118" s="16">
        <v>1</v>
      </c>
      <c r="AH118" s="16">
        <v>1</v>
      </c>
      <c r="AI118" s="16">
        <v>1</v>
      </c>
      <c r="AJ118" s="16">
        <v>1</v>
      </c>
      <c r="AK118" s="16">
        <v>1</v>
      </c>
      <c r="AL118" s="16">
        <v>1</v>
      </c>
      <c r="AM118" s="16">
        <v>1</v>
      </c>
      <c r="AN118" s="16">
        <v>1</v>
      </c>
      <c r="AO118" s="16">
        <v>2</v>
      </c>
      <c r="AP118" s="16">
        <v>3</v>
      </c>
      <c r="AQ118" s="16">
        <v>1</v>
      </c>
      <c r="AR118" s="16">
        <v>1</v>
      </c>
      <c r="AS118" s="16">
        <v>1</v>
      </c>
      <c r="AT118" s="16">
        <v>1</v>
      </c>
      <c r="AU118" s="16">
        <v>1</v>
      </c>
      <c r="AV118" s="16">
        <v>1</v>
      </c>
      <c r="AW118" s="16" t="s">
        <v>210</v>
      </c>
      <c r="AX118" s="1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1</v>
      </c>
    </row>
    <row r="119" spans="1:50" hidden="1">
      <c r="A119">
        <v>118</v>
      </c>
      <c r="B119" t="s">
        <v>202</v>
      </c>
      <c r="C119" s="10">
        <v>39097415</v>
      </c>
      <c r="D119" t="s">
        <v>211</v>
      </c>
      <c r="E119">
        <v>1</v>
      </c>
      <c r="F119">
        <v>0</v>
      </c>
      <c r="G119">
        <v>1</v>
      </c>
      <c r="H119">
        <v>1</v>
      </c>
      <c r="I119">
        <v>1</v>
      </c>
      <c r="J119">
        <v>1</v>
      </c>
      <c r="K119">
        <v>1</v>
      </c>
      <c r="L119">
        <v>1</v>
      </c>
      <c r="M119">
        <v>1</v>
      </c>
      <c r="N119">
        <v>1</v>
      </c>
      <c r="O119">
        <v>1</v>
      </c>
      <c r="P119">
        <v>0</v>
      </c>
      <c r="Q119" t="s">
        <v>70</v>
      </c>
      <c r="R119" t="s">
        <v>70</v>
      </c>
      <c r="S119">
        <v>0</v>
      </c>
      <c r="T119" t="s">
        <v>70</v>
      </c>
      <c r="U119" t="s">
        <v>70</v>
      </c>
      <c r="V119">
        <v>0</v>
      </c>
      <c r="W119" t="s">
        <v>70</v>
      </c>
      <c r="X119" t="s">
        <v>70</v>
      </c>
      <c r="Y119">
        <v>1</v>
      </c>
      <c r="Z119">
        <v>1</v>
      </c>
      <c r="AA119">
        <v>1</v>
      </c>
      <c r="AB119">
        <v>1</v>
      </c>
      <c r="AC119">
        <v>1</v>
      </c>
      <c r="AD119">
        <v>1</v>
      </c>
      <c r="AE119">
        <v>0</v>
      </c>
      <c r="AF119" t="s">
        <v>70</v>
      </c>
      <c r="AG119" t="s">
        <v>70</v>
      </c>
      <c r="AH119">
        <v>1</v>
      </c>
      <c r="AI119">
        <v>1</v>
      </c>
      <c r="AJ119">
        <v>1</v>
      </c>
      <c r="AK119">
        <v>1</v>
      </c>
      <c r="AL119">
        <v>1</v>
      </c>
      <c r="AM119">
        <v>1</v>
      </c>
      <c r="AN119">
        <v>1</v>
      </c>
      <c r="AO119">
        <v>2</v>
      </c>
      <c r="AP119">
        <v>1</v>
      </c>
      <c r="AQ119">
        <v>1</v>
      </c>
      <c r="AR119">
        <v>1</v>
      </c>
      <c r="AS119">
        <v>1</v>
      </c>
      <c r="AT119">
        <v>1</v>
      </c>
      <c r="AU119">
        <v>1</v>
      </c>
      <c r="AV119">
        <v>1</v>
      </c>
      <c r="AX119">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20" spans="1:50" hidden="1">
      <c r="A120">
        <v>119</v>
      </c>
      <c r="B120" t="s">
        <v>202</v>
      </c>
      <c r="C120" s="10">
        <v>39096254</v>
      </c>
      <c r="D120" t="s">
        <v>212</v>
      </c>
      <c r="E120">
        <v>1</v>
      </c>
      <c r="F120">
        <v>0</v>
      </c>
      <c r="G120">
        <v>1</v>
      </c>
      <c r="H120">
        <v>1</v>
      </c>
      <c r="I120">
        <v>1</v>
      </c>
      <c r="J120">
        <v>1</v>
      </c>
      <c r="K120">
        <v>1</v>
      </c>
      <c r="L120">
        <v>1</v>
      </c>
      <c r="M120">
        <v>1</v>
      </c>
      <c r="N120">
        <v>1</v>
      </c>
      <c r="O120">
        <v>1</v>
      </c>
      <c r="P120">
        <v>0</v>
      </c>
      <c r="Q120" t="s">
        <v>70</v>
      </c>
      <c r="R120" t="s">
        <v>70</v>
      </c>
      <c r="S120">
        <v>0</v>
      </c>
      <c r="T120" t="s">
        <v>70</v>
      </c>
      <c r="U120" t="s">
        <v>70</v>
      </c>
      <c r="V120">
        <v>0</v>
      </c>
      <c r="W120" t="s">
        <v>70</v>
      </c>
      <c r="X120" t="s">
        <v>70</v>
      </c>
      <c r="Y120">
        <v>1</v>
      </c>
      <c r="Z120">
        <v>1</v>
      </c>
      <c r="AA120">
        <v>1</v>
      </c>
      <c r="AB120">
        <v>1</v>
      </c>
      <c r="AC120">
        <v>1</v>
      </c>
      <c r="AD120">
        <v>1</v>
      </c>
      <c r="AE120">
        <v>1</v>
      </c>
      <c r="AF120">
        <v>1</v>
      </c>
      <c r="AG120">
        <v>1</v>
      </c>
      <c r="AH120">
        <v>1</v>
      </c>
      <c r="AI120">
        <v>1</v>
      </c>
      <c r="AJ120">
        <v>1</v>
      </c>
      <c r="AK120">
        <v>1</v>
      </c>
      <c r="AL120">
        <v>1</v>
      </c>
      <c r="AM120">
        <v>1</v>
      </c>
      <c r="AN120">
        <v>1</v>
      </c>
      <c r="AO120">
        <v>2</v>
      </c>
      <c r="AP120">
        <v>1</v>
      </c>
      <c r="AQ120">
        <v>1</v>
      </c>
      <c r="AR120">
        <v>1</v>
      </c>
      <c r="AS120">
        <v>1</v>
      </c>
      <c r="AT120">
        <v>1</v>
      </c>
      <c r="AU120">
        <v>1</v>
      </c>
      <c r="AV120">
        <v>1</v>
      </c>
      <c r="AX120">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21" spans="1:50" hidden="1">
      <c r="A121">
        <v>120</v>
      </c>
      <c r="B121" t="s">
        <v>202</v>
      </c>
      <c r="C121" s="10">
        <v>38260853</v>
      </c>
      <c r="D121" t="s">
        <v>87</v>
      </c>
      <c r="E121">
        <v>2</v>
      </c>
      <c r="F121">
        <v>0</v>
      </c>
      <c r="G121">
        <v>1</v>
      </c>
      <c r="H121">
        <v>1</v>
      </c>
      <c r="I121">
        <v>1</v>
      </c>
      <c r="J121">
        <v>1</v>
      </c>
      <c r="K121">
        <v>1</v>
      </c>
      <c r="L121">
        <v>1</v>
      </c>
      <c r="M121">
        <v>1</v>
      </c>
      <c r="N121">
        <v>1</v>
      </c>
      <c r="O121">
        <v>1</v>
      </c>
      <c r="P121">
        <v>1</v>
      </c>
      <c r="Q121">
        <v>1</v>
      </c>
      <c r="R121">
        <v>1</v>
      </c>
      <c r="S121">
        <v>0</v>
      </c>
      <c r="T121" t="s">
        <v>70</v>
      </c>
      <c r="U121" t="s">
        <v>70</v>
      </c>
      <c r="V121">
        <v>0</v>
      </c>
      <c r="W121" t="s">
        <v>70</v>
      </c>
      <c r="X121" t="s">
        <v>70</v>
      </c>
      <c r="Y121">
        <v>1</v>
      </c>
      <c r="Z121">
        <v>1</v>
      </c>
      <c r="AA121">
        <v>1</v>
      </c>
      <c r="AB121">
        <v>1</v>
      </c>
      <c r="AC121">
        <v>1</v>
      </c>
      <c r="AD121">
        <v>1</v>
      </c>
      <c r="AE121">
        <v>0</v>
      </c>
      <c r="AF121" t="s">
        <v>70</v>
      </c>
      <c r="AG121" t="s">
        <v>70</v>
      </c>
      <c r="AH121">
        <v>1</v>
      </c>
      <c r="AI121">
        <v>1</v>
      </c>
      <c r="AJ121">
        <v>1</v>
      </c>
      <c r="AK121">
        <v>1</v>
      </c>
      <c r="AL121">
        <v>1</v>
      </c>
      <c r="AM121">
        <v>1</v>
      </c>
      <c r="AN121">
        <v>0</v>
      </c>
      <c r="AO121" t="s">
        <v>70</v>
      </c>
      <c r="AP121" t="s">
        <v>70</v>
      </c>
      <c r="AQ121">
        <v>1</v>
      </c>
      <c r="AR121">
        <v>1</v>
      </c>
      <c r="AS121">
        <v>1</v>
      </c>
      <c r="AT121">
        <v>1</v>
      </c>
      <c r="AU121">
        <v>1</v>
      </c>
      <c r="AV121">
        <v>1</v>
      </c>
      <c r="AX121">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22" spans="1:50" hidden="1">
      <c r="A122">
        <v>121</v>
      </c>
      <c r="B122" t="s">
        <v>213</v>
      </c>
      <c r="C122" s="8" t="s">
        <v>214</v>
      </c>
      <c r="D122" t="s">
        <v>215</v>
      </c>
      <c r="E122">
        <v>1</v>
      </c>
      <c r="F122">
        <v>1</v>
      </c>
      <c r="G122">
        <v>1</v>
      </c>
      <c r="H122">
        <v>1</v>
      </c>
      <c r="I122">
        <v>1</v>
      </c>
      <c r="J122">
        <v>1</v>
      </c>
      <c r="K122">
        <v>1</v>
      </c>
      <c r="L122">
        <v>1</v>
      </c>
      <c r="M122">
        <v>1</v>
      </c>
      <c r="N122">
        <v>1</v>
      </c>
      <c r="O122">
        <v>1</v>
      </c>
      <c r="P122">
        <v>1</v>
      </c>
      <c r="Q122">
        <v>1</v>
      </c>
      <c r="R122">
        <v>1</v>
      </c>
      <c r="S122">
        <v>0</v>
      </c>
      <c r="T122" t="s">
        <v>51</v>
      </c>
      <c r="U122" t="s">
        <v>51</v>
      </c>
      <c r="V122">
        <v>0</v>
      </c>
      <c r="W122" t="s">
        <v>51</v>
      </c>
      <c r="X122" t="s">
        <v>51</v>
      </c>
      <c r="Y122">
        <v>1</v>
      </c>
      <c r="Z122">
        <v>1</v>
      </c>
      <c r="AA122">
        <v>1</v>
      </c>
      <c r="AB122">
        <v>0</v>
      </c>
      <c r="AC122" t="s">
        <v>51</v>
      </c>
      <c r="AD122" t="s">
        <v>51</v>
      </c>
      <c r="AE122">
        <v>0</v>
      </c>
      <c r="AF122" t="s">
        <v>51</v>
      </c>
      <c r="AG122" t="s">
        <v>51</v>
      </c>
      <c r="AH122">
        <v>1</v>
      </c>
      <c r="AI122">
        <v>1</v>
      </c>
      <c r="AJ122">
        <v>1</v>
      </c>
      <c r="AK122">
        <v>1</v>
      </c>
      <c r="AL122">
        <v>1</v>
      </c>
      <c r="AM122">
        <v>1</v>
      </c>
      <c r="AN122">
        <v>1</v>
      </c>
      <c r="AO122">
        <v>2</v>
      </c>
      <c r="AP122">
        <v>1</v>
      </c>
      <c r="AQ122">
        <v>1</v>
      </c>
      <c r="AR122">
        <v>1</v>
      </c>
      <c r="AS122">
        <v>1</v>
      </c>
      <c r="AT122">
        <v>1</v>
      </c>
      <c r="AU122">
        <v>1</v>
      </c>
      <c r="AV122">
        <v>1</v>
      </c>
      <c r="AX122">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23" spans="1:50" hidden="1">
      <c r="A123">
        <v>122</v>
      </c>
      <c r="B123" t="s">
        <v>213</v>
      </c>
      <c r="C123" s="10">
        <v>39099114</v>
      </c>
      <c r="D123" t="s">
        <v>110</v>
      </c>
      <c r="E123">
        <v>2</v>
      </c>
      <c r="F123">
        <v>0</v>
      </c>
      <c r="G123">
        <v>1</v>
      </c>
      <c r="H123">
        <v>1</v>
      </c>
      <c r="I123">
        <v>1</v>
      </c>
      <c r="J123">
        <v>1</v>
      </c>
      <c r="K123">
        <v>1</v>
      </c>
      <c r="L123">
        <v>1</v>
      </c>
      <c r="M123">
        <v>1</v>
      </c>
      <c r="N123">
        <v>1</v>
      </c>
      <c r="O123">
        <v>1</v>
      </c>
      <c r="P123">
        <v>1</v>
      </c>
      <c r="Q123">
        <v>1</v>
      </c>
      <c r="R123">
        <v>1</v>
      </c>
      <c r="S123">
        <v>0</v>
      </c>
      <c r="T123" t="s">
        <v>51</v>
      </c>
      <c r="U123" t="s">
        <v>51</v>
      </c>
      <c r="V123">
        <v>0</v>
      </c>
      <c r="W123" t="s">
        <v>51</v>
      </c>
      <c r="X123" t="s">
        <v>51</v>
      </c>
      <c r="Y123">
        <v>1</v>
      </c>
      <c r="Z123">
        <v>1</v>
      </c>
      <c r="AA123">
        <v>1</v>
      </c>
      <c r="AB123">
        <v>0</v>
      </c>
      <c r="AC123" t="s">
        <v>51</v>
      </c>
      <c r="AD123" t="s">
        <v>51</v>
      </c>
      <c r="AE123">
        <v>0</v>
      </c>
      <c r="AF123" t="s">
        <v>51</v>
      </c>
      <c r="AG123" t="s">
        <v>51</v>
      </c>
      <c r="AH123">
        <v>1</v>
      </c>
      <c r="AI123">
        <v>1</v>
      </c>
      <c r="AJ123">
        <v>1</v>
      </c>
      <c r="AK123">
        <v>1</v>
      </c>
      <c r="AL123">
        <v>1</v>
      </c>
      <c r="AM123">
        <v>1</v>
      </c>
      <c r="AN123">
        <v>0</v>
      </c>
      <c r="AO123" t="s">
        <v>51</v>
      </c>
      <c r="AP123" t="s">
        <v>51</v>
      </c>
      <c r="AQ123">
        <v>1</v>
      </c>
      <c r="AR123">
        <v>1</v>
      </c>
      <c r="AS123">
        <v>1</v>
      </c>
      <c r="AT123">
        <v>1</v>
      </c>
      <c r="AU123">
        <v>1</v>
      </c>
      <c r="AV123">
        <v>1</v>
      </c>
      <c r="AX123">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24" spans="1:50" hidden="1">
      <c r="A124">
        <v>123</v>
      </c>
      <c r="B124" t="s">
        <v>213</v>
      </c>
      <c r="C124" s="10">
        <v>39098423</v>
      </c>
      <c r="D124" t="s">
        <v>91</v>
      </c>
      <c r="E124">
        <v>1</v>
      </c>
      <c r="F124">
        <v>0</v>
      </c>
      <c r="G124">
        <v>1</v>
      </c>
      <c r="H124">
        <v>1</v>
      </c>
      <c r="I124">
        <v>1</v>
      </c>
      <c r="J124">
        <v>1</v>
      </c>
      <c r="K124">
        <v>1</v>
      </c>
      <c r="L124">
        <v>1</v>
      </c>
      <c r="M124">
        <v>1</v>
      </c>
      <c r="N124">
        <v>1</v>
      </c>
      <c r="O124">
        <v>1</v>
      </c>
      <c r="P124">
        <v>1</v>
      </c>
      <c r="Q124">
        <v>1</v>
      </c>
      <c r="R124">
        <v>1</v>
      </c>
      <c r="S124">
        <v>0</v>
      </c>
      <c r="T124" t="s">
        <v>51</v>
      </c>
      <c r="U124" t="s">
        <v>51</v>
      </c>
      <c r="V124">
        <v>0</v>
      </c>
      <c r="W124" t="s">
        <v>51</v>
      </c>
      <c r="X124" t="s">
        <v>51</v>
      </c>
      <c r="Y124">
        <v>1</v>
      </c>
      <c r="Z124">
        <v>1</v>
      </c>
      <c r="AA124">
        <v>1</v>
      </c>
      <c r="AB124">
        <v>0</v>
      </c>
      <c r="AC124" t="s">
        <v>51</v>
      </c>
      <c r="AD124" t="s">
        <v>51</v>
      </c>
      <c r="AE124">
        <v>0</v>
      </c>
      <c r="AF124" t="s">
        <v>51</v>
      </c>
      <c r="AG124" t="s">
        <v>51</v>
      </c>
      <c r="AH124">
        <v>1</v>
      </c>
      <c r="AI124">
        <v>1</v>
      </c>
      <c r="AJ124">
        <v>1</v>
      </c>
      <c r="AK124">
        <v>1</v>
      </c>
      <c r="AL124">
        <v>2</v>
      </c>
      <c r="AM124">
        <v>1</v>
      </c>
      <c r="AN124">
        <v>1</v>
      </c>
      <c r="AO124">
        <v>2</v>
      </c>
      <c r="AP124">
        <v>1</v>
      </c>
      <c r="AQ124">
        <v>1</v>
      </c>
      <c r="AR124">
        <v>1</v>
      </c>
      <c r="AS124">
        <v>1</v>
      </c>
      <c r="AT124">
        <v>1</v>
      </c>
      <c r="AU124">
        <v>1</v>
      </c>
      <c r="AV124">
        <v>1</v>
      </c>
      <c r="AX124">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25" spans="1:50" hidden="1">
      <c r="A125">
        <v>124</v>
      </c>
      <c r="B125" t="s">
        <v>213</v>
      </c>
      <c r="C125" s="8" t="s">
        <v>216</v>
      </c>
      <c r="D125" t="s">
        <v>217</v>
      </c>
      <c r="E125">
        <v>1</v>
      </c>
      <c r="F125">
        <v>0</v>
      </c>
      <c r="G125">
        <v>1</v>
      </c>
      <c r="H125">
        <v>1</v>
      </c>
      <c r="I125">
        <v>1</v>
      </c>
      <c r="J125">
        <v>1</v>
      </c>
      <c r="K125">
        <v>1</v>
      </c>
      <c r="L125">
        <v>1</v>
      </c>
      <c r="M125">
        <v>1</v>
      </c>
      <c r="N125">
        <v>1</v>
      </c>
      <c r="O125">
        <v>1</v>
      </c>
      <c r="P125">
        <v>1</v>
      </c>
      <c r="Q125">
        <v>2</v>
      </c>
      <c r="R125">
        <v>1</v>
      </c>
      <c r="S125">
        <v>0</v>
      </c>
      <c r="T125" t="s">
        <v>51</v>
      </c>
      <c r="U125" t="s">
        <v>51</v>
      </c>
      <c r="V125">
        <v>0</v>
      </c>
      <c r="W125" t="s">
        <v>51</v>
      </c>
      <c r="X125" t="s">
        <v>51</v>
      </c>
      <c r="Y125">
        <v>1</v>
      </c>
      <c r="Z125">
        <v>1</v>
      </c>
      <c r="AA125">
        <v>1</v>
      </c>
      <c r="AB125">
        <v>1</v>
      </c>
      <c r="AC125">
        <v>1</v>
      </c>
      <c r="AD125">
        <v>1</v>
      </c>
      <c r="AE125">
        <v>1</v>
      </c>
      <c r="AF125">
        <v>1</v>
      </c>
      <c r="AG125">
        <v>1</v>
      </c>
      <c r="AH125">
        <v>1</v>
      </c>
      <c r="AI125">
        <v>1</v>
      </c>
      <c r="AJ125">
        <v>1</v>
      </c>
      <c r="AK125">
        <v>1</v>
      </c>
      <c r="AL125">
        <v>2</v>
      </c>
      <c r="AM125">
        <v>1</v>
      </c>
      <c r="AN125">
        <v>1</v>
      </c>
      <c r="AO125">
        <v>2</v>
      </c>
      <c r="AP125">
        <v>1</v>
      </c>
      <c r="AQ125">
        <v>1</v>
      </c>
      <c r="AR125">
        <v>1</v>
      </c>
      <c r="AS125">
        <v>1</v>
      </c>
      <c r="AT125">
        <v>1</v>
      </c>
      <c r="AU125">
        <v>1</v>
      </c>
      <c r="AV125">
        <v>1</v>
      </c>
      <c r="AX125">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26" spans="1:50" hidden="1">
      <c r="A126">
        <v>125</v>
      </c>
      <c r="B126" t="s">
        <v>213</v>
      </c>
      <c r="C126" s="10">
        <v>39095707</v>
      </c>
      <c r="D126" t="s">
        <v>218</v>
      </c>
      <c r="E126">
        <v>1</v>
      </c>
      <c r="F126">
        <v>1</v>
      </c>
      <c r="G126">
        <v>1</v>
      </c>
      <c r="H126">
        <v>1</v>
      </c>
      <c r="I126">
        <v>1</v>
      </c>
      <c r="J126">
        <v>1</v>
      </c>
      <c r="K126">
        <v>1</v>
      </c>
      <c r="L126">
        <v>1</v>
      </c>
      <c r="M126">
        <v>1</v>
      </c>
      <c r="N126">
        <v>1</v>
      </c>
      <c r="O126">
        <v>1</v>
      </c>
      <c r="P126">
        <v>1</v>
      </c>
      <c r="Q126">
        <v>1</v>
      </c>
      <c r="R126">
        <v>1</v>
      </c>
      <c r="S126">
        <v>0</v>
      </c>
      <c r="T126" t="s">
        <v>51</v>
      </c>
      <c r="U126" t="s">
        <v>51</v>
      </c>
      <c r="V126">
        <v>0</v>
      </c>
      <c r="W126" t="s">
        <v>51</v>
      </c>
      <c r="X126" t="s">
        <v>51</v>
      </c>
      <c r="Y126">
        <v>1</v>
      </c>
      <c r="Z126">
        <v>1</v>
      </c>
      <c r="AA126">
        <v>1</v>
      </c>
      <c r="AB126">
        <v>1</v>
      </c>
      <c r="AC126">
        <v>2</v>
      </c>
      <c r="AD126">
        <v>1</v>
      </c>
      <c r="AE126">
        <v>1</v>
      </c>
      <c r="AF126">
        <v>1</v>
      </c>
      <c r="AG126">
        <v>1</v>
      </c>
      <c r="AH126">
        <v>1</v>
      </c>
      <c r="AI126">
        <v>1</v>
      </c>
      <c r="AJ126">
        <v>1</v>
      </c>
      <c r="AK126">
        <v>1</v>
      </c>
      <c r="AL126">
        <v>2</v>
      </c>
      <c r="AM126">
        <v>1</v>
      </c>
      <c r="AN126">
        <v>1</v>
      </c>
      <c r="AO126">
        <v>2</v>
      </c>
      <c r="AP126">
        <v>1</v>
      </c>
      <c r="AQ126">
        <v>1</v>
      </c>
      <c r="AR126">
        <v>1</v>
      </c>
      <c r="AS126">
        <v>1</v>
      </c>
      <c r="AT126">
        <v>1</v>
      </c>
      <c r="AU126">
        <v>1</v>
      </c>
      <c r="AV126">
        <v>1</v>
      </c>
      <c r="AX12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27" spans="1:50" hidden="1">
      <c r="A127">
        <v>126</v>
      </c>
      <c r="B127" t="s">
        <v>213</v>
      </c>
      <c r="C127" s="10">
        <v>39090682</v>
      </c>
      <c r="D127" t="s">
        <v>219</v>
      </c>
      <c r="E127">
        <v>1</v>
      </c>
      <c r="F127">
        <v>0</v>
      </c>
      <c r="G127">
        <v>1</v>
      </c>
      <c r="H127">
        <v>1</v>
      </c>
      <c r="I127">
        <v>1</v>
      </c>
      <c r="J127">
        <v>1</v>
      </c>
      <c r="K127">
        <v>1</v>
      </c>
      <c r="L127">
        <v>1</v>
      </c>
      <c r="M127">
        <v>1</v>
      </c>
      <c r="N127">
        <v>1</v>
      </c>
      <c r="O127">
        <v>1</v>
      </c>
      <c r="P127">
        <v>1</v>
      </c>
      <c r="Q127">
        <v>2</v>
      </c>
      <c r="R127">
        <v>1</v>
      </c>
      <c r="S127">
        <v>0</v>
      </c>
      <c r="T127" t="s">
        <v>51</v>
      </c>
      <c r="U127" t="s">
        <v>51</v>
      </c>
      <c r="V127">
        <v>0</v>
      </c>
      <c r="W127" t="s">
        <v>51</v>
      </c>
      <c r="X127" t="s">
        <v>51</v>
      </c>
      <c r="Y127">
        <v>1</v>
      </c>
      <c r="Z127">
        <v>2</v>
      </c>
      <c r="AA127">
        <v>1</v>
      </c>
      <c r="AB127">
        <v>1</v>
      </c>
      <c r="AC127">
        <v>2</v>
      </c>
      <c r="AD127">
        <v>1</v>
      </c>
      <c r="AE127">
        <v>0</v>
      </c>
      <c r="AF127" t="s">
        <v>51</v>
      </c>
      <c r="AG127" t="s">
        <v>51</v>
      </c>
      <c r="AH127">
        <v>1</v>
      </c>
      <c r="AI127">
        <v>1</v>
      </c>
      <c r="AJ127">
        <v>1</v>
      </c>
      <c r="AK127">
        <v>1</v>
      </c>
      <c r="AL127">
        <v>2</v>
      </c>
      <c r="AM127">
        <v>1</v>
      </c>
      <c r="AN127">
        <v>1</v>
      </c>
      <c r="AO127">
        <v>2</v>
      </c>
      <c r="AP127">
        <v>2</v>
      </c>
      <c r="AQ127">
        <v>1</v>
      </c>
      <c r="AR127">
        <v>1</v>
      </c>
      <c r="AS127">
        <v>1</v>
      </c>
      <c r="AT127">
        <v>1</v>
      </c>
      <c r="AU127">
        <v>1</v>
      </c>
      <c r="AV127">
        <v>1</v>
      </c>
      <c r="AX127">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28" spans="1:50" hidden="1">
      <c r="A128">
        <v>127</v>
      </c>
      <c r="B128" t="s">
        <v>213</v>
      </c>
      <c r="C128" s="10">
        <v>39088706</v>
      </c>
      <c r="D128" t="s">
        <v>220</v>
      </c>
      <c r="E128">
        <v>1</v>
      </c>
      <c r="F128">
        <v>0</v>
      </c>
      <c r="G128">
        <v>1</v>
      </c>
      <c r="H128">
        <v>1</v>
      </c>
      <c r="I128">
        <v>1</v>
      </c>
      <c r="J128">
        <v>1</v>
      </c>
      <c r="K128">
        <v>1</v>
      </c>
      <c r="L128">
        <v>1</v>
      </c>
      <c r="M128">
        <v>1</v>
      </c>
      <c r="N128">
        <v>1</v>
      </c>
      <c r="O128">
        <v>1</v>
      </c>
      <c r="P128">
        <v>0</v>
      </c>
      <c r="Q128" t="s">
        <v>51</v>
      </c>
      <c r="R128" t="s">
        <v>51</v>
      </c>
      <c r="S128">
        <v>1</v>
      </c>
      <c r="T128">
        <v>1</v>
      </c>
      <c r="U128">
        <v>1</v>
      </c>
      <c r="V128">
        <v>1</v>
      </c>
      <c r="W128">
        <v>1</v>
      </c>
      <c r="X128">
        <v>1</v>
      </c>
      <c r="Y128">
        <v>1</v>
      </c>
      <c r="Z128">
        <v>2</v>
      </c>
      <c r="AA128">
        <v>1</v>
      </c>
      <c r="AB128">
        <v>1</v>
      </c>
      <c r="AC128">
        <v>1</v>
      </c>
      <c r="AD128">
        <v>1</v>
      </c>
      <c r="AE128">
        <v>1</v>
      </c>
      <c r="AF128">
        <v>2</v>
      </c>
      <c r="AG128">
        <v>1</v>
      </c>
      <c r="AH128">
        <v>1</v>
      </c>
      <c r="AI128">
        <v>1</v>
      </c>
      <c r="AJ128">
        <v>1</v>
      </c>
      <c r="AK128">
        <v>1</v>
      </c>
      <c r="AL128">
        <v>2</v>
      </c>
      <c r="AM128">
        <v>1</v>
      </c>
      <c r="AN128">
        <v>1</v>
      </c>
      <c r="AO128">
        <v>2</v>
      </c>
      <c r="AP128">
        <v>1</v>
      </c>
      <c r="AQ128">
        <v>1</v>
      </c>
      <c r="AR128">
        <v>1</v>
      </c>
      <c r="AS128">
        <v>1</v>
      </c>
      <c r="AT128">
        <v>1</v>
      </c>
      <c r="AU128">
        <v>1</v>
      </c>
      <c r="AV128">
        <v>1</v>
      </c>
      <c r="AX128">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29" spans="1:50" hidden="1">
      <c r="A129">
        <v>128</v>
      </c>
      <c r="B129" t="s">
        <v>213</v>
      </c>
      <c r="C129" s="10">
        <v>39072715</v>
      </c>
      <c r="D129" t="s">
        <v>221</v>
      </c>
      <c r="E129">
        <v>1</v>
      </c>
      <c r="F129">
        <v>1</v>
      </c>
      <c r="G129">
        <v>1</v>
      </c>
      <c r="H129">
        <v>1</v>
      </c>
      <c r="I129">
        <v>1</v>
      </c>
      <c r="J129">
        <v>1</v>
      </c>
      <c r="K129">
        <v>1</v>
      </c>
      <c r="L129">
        <v>1</v>
      </c>
      <c r="M129">
        <v>1</v>
      </c>
      <c r="N129">
        <v>1</v>
      </c>
      <c r="O129">
        <v>1</v>
      </c>
      <c r="P129">
        <v>1</v>
      </c>
      <c r="Q129">
        <v>1</v>
      </c>
      <c r="R129">
        <v>1</v>
      </c>
      <c r="S129">
        <v>1</v>
      </c>
      <c r="T129">
        <v>1</v>
      </c>
      <c r="U129">
        <v>1</v>
      </c>
      <c r="V129">
        <v>1</v>
      </c>
      <c r="W129">
        <v>1</v>
      </c>
      <c r="X129">
        <v>1</v>
      </c>
      <c r="Y129">
        <v>1</v>
      </c>
      <c r="Z129">
        <v>1</v>
      </c>
      <c r="AA129">
        <v>1</v>
      </c>
      <c r="AB129">
        <v>1</v>
      </c>
      <c r="AC129">
        <v>1</v>
      </c>
      <c r="AD129">
        <v>1</v>
      </c>
      <c r="AE129">
        <v>1</v>
      </c>
      <c r="AF129">
        <v>2</v>
      </c>
      <c r="AG129">
        <v>2</v>
      </c>
      <c r="AH129">
        <v>1</v>
      </c>
      <c r="AI129">
        <v>1</v>
      </c>
      <c r="AJ129">
        <v>1</v>
      </c>
      <c r="AK129">
        <v>1</v>
      </c>
      <c r="AL129">
        <v>1</v>
      </c>
      <c r="AM129">
        <v>1</v>
      </c>
      <c r="AN129">
        <v>1</v>
      </c>
      <c r="AO129">
        <v>2</v>
      </c>
      <c r="AP129">
        <v>1</v>
      </c>
      <c r="AQ129">
        <v>1</v>
      </c>
      <c r="AR129">
        <v>1</v>
      </c>
      <c r="AS129">
        <v>1</v>
      </c>
      <c r="AT129">
        <v>1</v>
      </c>
      <c r="AU129">
        <v>1</v>
      </c>
      <c r="AV129">
        <v>1</v>
      </c>
      <c r="AW129" s="13" t="s">
        <v>222</v>
      </c>
      <c r="AX129" s="13">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30" spans="1:50" hidden="1">
      <c r="A130">
        <v>129</v>
      </c>
      <c r="B130" t="s">
        <v>213</v>
      </c>
      <c r="C130" s="10">
        <v>39078663</v>
      </c>
      <c r="D130" t="s">
        <v>223</v>
      </c>
      <c r="E130">
        <v>1</v>
      </c>
      <c r="F130">
        <v>0</v>
      </c>
      <c r="G130">
        <v>1</v>
      </c>
      <c r="H130">
        <v>1</v>
      </c>
      <c r="I130">
        <v>1</v>
      </c>
      <c r="J130">
        <v>1</v>
      </c>
      <c r="K130">
        <v>1</v>
      </c>
      <c r="L130">
        <v>1</v>
      </c>
      <c r="M130">
        <v>1</v>
      </c>
      <c r="N130">
        <v>1</v>
      </c>
      <c r="O130">
        <v>1</v>
      </c>
      <c r="P130">
        <v>0</v>
      </c>
      <c r="Q130" t="s">
        <v>51</v>
      </c>
      <c r="R130" t="s">
        <v>51</v>
      </c>
      <c r="S130">
        <v>1</v>
      </c>
      <c r="T130">
        <v>1</v>
      </c>
      <c r="U130">
        <v>1</v>
      </c>
      <c r="V130">
        <v>0</v>
      </c>
      <c r="W130" t="s">
        <v>51</v>
      </c>
      <c r="X130" t="s">
        <v>51</v>
      </c>
      <c r="Y130">
        <v>1</v>
      </c>
      <c r="Z130">
        <v>1</v>
      </c>
      <c r="AA130">
        <v>1</v>
      </c>
      <c r="AB130">
        <v>1</v>
      </c>
      <c r="AC130">
        <v>2</v>
      </c>
      <c r="AD130">
        <v>1</v>
      </c>
      <c r="AE130">
        <v>1</v>
      </c>
      <c r="AF130">
        <v>1</v>
      </c>
      <c r="AG130">
        <v>1</v>
      </c>
      <c r="AH130">
        <v>1</v>
      </c>
      <c r="AI130">
        <v>1</v>
      </c>
      <c r="AJ130">
        <v>1</v>
      </c>
      <c r="AK130">
        <v>1</v>
      </c>
      <c r="AL130">
        <v>2</v>
      </c>
      <c r="AM130">
        <v>1</v>
      </c>
      <c r="AN130">
        <v>1</v>
      </c>
      <c r="AO130">
        <v>2</v>
      </c>
      <c r="AP130">
        <v>1</v>
      </c>
      <c r="AQ130">
        <v>1</v>
      </c>
      <c r="AR130">
        <v>1</v>
      </c>
      <c r="AS130">
        <v>1</v>
      </c>
      <c r="AT130">
        <v>1</v>
      </c>
      <c r="AU130">
        <v>1</v>
      </c>
      <c r="AV130">
        <v>1</v>
      </c>
      <c r="AX130">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31" spans="1:50" hidden="1">
      <c r="A131">
        <v>130</v>
      </c>
      <c r="B131" t="s">
        <v>213</v>
      </c>
      <c r="C131" s="10">
        <v>39088963</v>
      </c>
      <c r="D131" t="s">
        <v>224</v>
      </c>
      <c r="E131">
        <v>1</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2</v>
      </c>
      <c r="AD131">
        <v>1</v>
      </c>
      <c r="AE131">
        <v>1</v>
      </c>
      <c r="AF131">
        <v>1</v>
      </c>
      <c r="AG131">
        <v>1</v>
      </c>
      <c r="AH131">
        <v>1</v>
      </c>
      <c r="AI131">
        <v>1</v>
      </c>
      <c r="AJ131">
        <v>1</v>
      </c>
      <c r="AK131">
        <v>1</v>
      </c>
      <c r="AL131">
        <v>2</v>
      </c>
      <c r="AM131">
        <v>1</v>
      </c>
      <c r="AN131">
        <v>1</v>
      </c>
      <c r="AO131">
        <v>2</v>
      </c>
      <c r="AP131">
        <v>1</v>
      </c>
      <c r="AQ131">
        <v>1</v>
      </c>
      <c r="AR131">
        <v>1</v>
      </c>
      <c r="AS131">
        <v>1</v>
      </c>
      <c r="AT131">
        <v>1</v>
      </c>
      <c r="AU131">
        <v>1</v>
      </c>
      <c r="AV131">
        <v>1</v>
      </c>
      <c r="AX131">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32" spans="1:50" hidden="1">
      <c r="A132">
        <v>131</v>
      </c>
      <c r="B132" t="s">
        <v>225</v>
      </c>
      <c r="C132" s="10">
        <v>35554388</v>
      </c>
      <c r="D132" t="s">
        <v>226</v>
      </c>
      <c r="E132">
        <v>1</v>
      </c>
      <c r="F132">
        <v>0</v>
      </c>
      <c r="G132">
        <v>1</v>
      </c>
      <c r="H132">
        <v>1</v>
      </c>
      <c r="I132">
        <v>1</v>
      </c>
      <c r="J132">
        <v>1</v>
      </c>
      <c r="K132">
        <v>1</v>
      </c>
      <c r="L132">
        <v>1</v>
      </c>
      <c r="M132">
        <v>1</v>
      </c>
      <c r="N132">
        <v>1</v>
      </c>
      <c r="O132">
        <v>1</v>
      </c>
      <c r="P132">
        <v>1</v>
      </c>
      <c r="Q132">
        <v>1</v>
      </c>
      <c r="R132">
        <v>1</v>
      </c>
      <c r="S132">
        <v>0</v>
      </c>
      <c r="T132" t="s">
        <v>51</v>
      </c>
      <c r="U132" t="s">
        <v>51</v>
      </c>
      <c r="V132">
        <v>0</v>
      </c>
      <c r="W132" t="s">
        <v>51</v>
      </c>
      <c r="X132" t="s">
        <v>51</v>
      </c>
      <c r="Y132">
        <v>1</v>
      </c>
      <c r="Z132">
        <v>1</v>
      </c>
      <c r="AA132">
        <v>1</v>
      </c>
      <c r="AB132">
        <v>0</v>
      </c>
      <c r="AC132" t="s">
        <v>51</v>
      </c>
      <c r="AD132" t="s">
        <v>51</v>
      </c>
      <c r="AE132">
        <v>0</v>
      </c>
      <c r="AF132" t="s">
        <v>51</v>
      </c>
      <c r="AG132" t="s">
        <v>51</v>
      </c>
      <c r="AH132">
        <v>1</v>
      </c>
      <c r="AI132">
        <v>1</v>
      </c>
      <c r="AJ132">
        <v>1</v>
      </c>
      <c r="AK132">
        <v>1</v>
      </c>
      <c r="AL132">
        <v>1</v>
      </c>
      <c r="AM132">
        <v>1</v>
      </c>
      <c r="AN132">
        <v>1</v>
      </c>
      <c r="AO132">
        <v>2</v>
      </c>
      <c r="AP132">
        <v>1</v>
      </c>
      <c r="AQ132">
        <v>1</v>
      </c>
      <c r="AR132">
        <v>1</v>
      </c>
      <c r="AS132">
        <v>1</v>
      </c>
      <c r="AT132">
        <v>1</v>
      </c>
      <c r="AU132">
        <v>1</v>
      </c>
      <c r="AV132">
        <v>1</v>
      </c>
      <c r="AX132">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33" spans="1:50" hidden="1">
      <c r="A133">
        <v>132</v>
      </c>
      <c r="B133" t="s">
        <v>225</v>
      </c>
      <c r="C133" s="10">
        <v>39092381</v>
      </c>
      <c r="D133" t="s">
        <v>55</v>
      </c>
      <c r="E133">
        <v>1</v>
      </c>
      <c r="F133">
        <v>1</v>
      </c>
      <c r="G133">
        <v>1</v>
      </c>
      <c r="H133">
        <v>1</v>
      </c>
      <c r="I133">
        <v>1</v>
      </c>
      <c r="J133">
        <v>1</v>
      </c>
      <c r="K133">
        <v>1</v>
      </c>
      <c r="L133">
        <v>1</v>
      </c>
      <c r="M133">
        <v>1</v>
      </c>
      <c r="N133">
        <v>1</v>
      </c>
      <c r="O133">
        <v>1</v>
      </c>
      <c r="P133">
        <v>0</v>
      </c>
      <c r="Q133" t="s">
        <v>51</v>
      </c>
      <c r="R133" t="s">
        <v>51</v>
      </c>
      <c r="S133">
        <v>0</v>
      </c>
      <c r="T133" t="s">
        <v>51</v>
      </c>
      <c r="U133" t="s">
        <v>51</v>
      </c>
      <c r="V133">
        <v>0</v>
      </c>
      <c r="W133" t="s">
        <v>51</v>
      </c>
      <c r="X133" t="s">
        <v>51</v>
      </c>
      <c r="Y133">
        <v>1</v>
      </c>
      <c r="Z133">
        <v>1</v>
      </c>
      <c r="AA133">
        <v>1</v>
      </c>
      <c r="AB133">
        <v>0</v>
      </c>
      <c r="AC133" t="s">
        <v>51</v>
      </c>
      <c r="AD133" t="s">
        <v>51</v>
      </c>
      <c r="AE133">
        <v>1</v>
      </c>
      <c r="AF133">
        <v>2</v>
      </c>
      <c r="AG133">
        <v>1</v>
      </c>
      <c r="AH133">
        <v>1</v>
      </c>
      <c r="AI133">
        <v>1</v>
      </c>
      <c r="AJ133">
        <v>1</v>
      </c>
      <c r="AK133">
        <v>1</v>
      </c>
      <c r="AL133">
        <v>1</v>
      </c>
      <c r="AM133">
        <v>1</v>
      </c>
      <c r="AN133">
        <v>1</v>
      </c>
      <c r="AO133">
        <v>2</v>
      </c>
      <c r="AP133">
        <v>1</v>
      </c>
      <c r="AQ133">
        <v>1</v>
      </c>
      <c r="AR133">
        <v>1</v>
      </c>
      <c r="AS133">
        <v>1</v>
      </c>
      <c r="AT133">
        <v>1</v>
      </c>
      <c r="AU133">
        <v>1</v>
      </c>
      <c r="AV133">
        <v>1</v>
      </c>
      <c r="AX133">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34" spans="1:50" hidden="1">
      <c r="A134">
        <v>133</v>
      </c>
      <c r="B134" t="s">
        <v>225</v>
      </c>
      <c r="C134" s="10">
        <v>39091819</v>
      </c>
      <c r="D134" t="s">
        <v>227</v>
      </c>
      <c r="E134">
        <v>2</v>
      </c>
      <c r="F134">
        <v>0</v>
      </c>
      <c r="G134">
        <v>1</v>
      </c>
      <c r="H134">
        <v>1</v>
      </c>
      <c r="I134">
        <v>1</v>
      </c>
      <c r="J134">
        <v>1</v>
      </c>
      <c r="K134">
        <v>1</v>
      </c>
      <c r="L134">
        <v>1</v>
      </c>
      <c r="M134">
        <v>1</v>
      </c>
      <c r="N134">
        <v>1</v>
      </c>
      <c r="O134">
        <v>1</v>
      </c>
      <c r="P134">
        <v>1</v>
      </c>
      <c r="Q134">
        <v>1</v>
      </c>
      <c r="R134">
        <v>1</v>
      </c>
      <c r="S134">
        <v>0</v>
      </c>
      <c r="T134" t="s">
        <v>51</v>
      </c>
      <c r="U134" t="s">
        <v>51</v>
      </c>
      <c r="V134">
        <v>0</v>
      </c>
      <c r="W134" t="s">
        <v>51</v>
      </c>
      <c r="X134" t="s">
        <v>51</v>
      </c>
      <c r="Y134">
        <v>1</v>
      </c>
      <c r="Z134">
        <v>1</v>
      </c>
      <c r="AA134">
        <v>1</v>
      </c>
      <c r="AB134">
        <v>0</v>
      </c>
      <c r="AC134" t="s">
        <v>51</v>
      </c>
      <c r="AD134" t="s">
        <v>51</v>
      </c>
      <c r="AE134">
        <v>0</v>
      </c>
      <c r="AF134" t="s">
        <v>51</v>
      </c>
      <c r="AG134" t="s">
        <v>51</v>
      </c>
      <c r="AH134">
        <v>1</v>
      </c>
      <c r="AI134">
        <v>1</v>
      </c>
      <c r="AJ134">
        <v>1</v>
      </c>
      <c r="AK134">
        <v>1</v>
      </c>
      <c r="AL134">
        <v>1</v>
      </c>
      <c r="AM134">
        <v>1</v>
      </c>
      <c r="AN134">
        <v>0</v>
      </c>
      <c r="AO134" t="s">
        <v>51</v>
      </c>
      <c r="AP134" t="s">
        <v>51</v>
      </c>
      <c r="AQ134">
        <v>1</v>
      </c>
      <c r="AR134">
        <v>1</v>
      </c>
      <c r="AS134">
        <v>1</v>
      </c>
      <c r="AT134">
        <v>0</v>
      </c>
      <c r="AU134" t="s">
        <v>70</v>
      </c>
      <c r="AV134" t="s">
        <v>70</v>
      </c>
      <c r="AW134" t="s">
        <v>228</v>
      </c>
      <c r="AX134">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35" spans="1:50" s="16" customFormat="1">
      <c r="A135" s="16">
        <v>134</v>
      </c>
      <c r="B135" s="16" t="s">
        <v>225</v>
      </c>
      <c r="C135" s="17">
        <v>39092180</v>
      </c>
      <c r="D135" s="16" t="s">
        <v>229</v>
      </c>
      <c r="E135" s="16">
        <v>1</v>
      </c>
      <c r="F135" s="16">
        <v>0</v>
      </c>
      <c r="G135" s="16">
        <v>1</v>
      </c>
      <c r="H135" s="16">
        <v>1</v>
      </c>
      <c r="I135" s="16">
        <v>1</v>
      </c>
      <c r="J135" s="16">
        <v>1</v>
      </c>
      <c r="K135" s="16">
        <v>1</v>
      </c>
      <c r="L135" s="16">
        <v>1</v>
      </c>
      <c r="M135" s="16">
        <v>1</v>
      </c>
      <c r="N135" s="16">
        <v>1</v>
      </c>
      <c r="O135" s="16">
        <v>1</v>
      </c>
      <c r="P135" s="16">
        <v>0</v>
      </c>
      <c r="Q135" s="16" t="s">
        <v>51</v>
      </c>
      <c r="R135" s="16" t="s">
        <v>51</v>
      </c>
      <c r="S135" s="16">
        <v>0</v>
      </c>
      <c r="T135" s="16" t="s">
        <v>51</v>
      </c>
      <c r="U135" s="16" t="s">
        <v>51</v>
      </c>
      <c r="V135" s="16">
        <v>0</v>
      </c>
      <c r="W135" s="16" t="s">
        <v>51</v>
      </c>
      <c r="X135" s="16" t="s">
        <v>51</v>
      </c>
      <c r="Y135" s="16">
        <v>1</v>
      </c>
      <c r="Z135" s="16">
        <v>1</v>
      </c>
      <c r="AA135" s="16">
        <v>1</v>
      </c>
      <c r="AB135" s="16">
        <v>0</v>
      </c>
      <c r="AC135" s="16" t="s">
        <v>51</v>
      </c>
      <c r="AD135" s="16" t="s">
        <v>51</v>
      </c>
      <c r="AE135" s="16">
        <v>1</v>
      </c>
      <c r="AF135" s="16">
        <v>1</v>
      </c>
      <c r="AG135" s="16">
        <v>1</v>
      </c>
      <c r="AH135" s="16">
        <v>1</v>
      </c>
      <c r="AI135" s="16">
        <v>1</v>
      </c>
      <c r="AJ135" s="16">
        <v>1</v>
      </c>
      <c r="AK135" s="16">
        <v>1</v>
      </c>
      <c r="AL135" s="16">
        <v>1</v>
      </c>
      <c r="AM135" s="16">
        <v>1</v>
      </c>
      <c r="AN135" s="16">
        <v>1</v>
      </c>
      <c r="AO135" s="16">
        <v>2</v>
      </c>
      <c r="AP135" s="16">
        <v>2</v>
      </c>
      <c r="AQ135" s="16">
        <v>1</v>
      </c>
      <c r="AR135" s="16">
        <v>1</v>
      </c>
      <c r="AS135" s="16">
        <v>1</v>
      </c>
      <c r="AT135" s="16">
        <v>1</v>
      </c>
      <c r="AU135" s="16">
        <v>1</v>
      </c>
      <c r="AV135" s="16">
        <v>3</v>
      </c>
      <c r="AW135" s="16" t="s">
        <v>230</v>
      </c>
      <c r="AX135" s="1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1</v>
      </c>
    </row>
    <row r="136" spans="1:50" hidden="1">
      <c r="A136">
        <v>135</v>
      </c>
      <c r="B136" t="s">
        <v>225</v>
      </c>
      <c r="C136" s="10">
        <v>39091015</v>
      </c>
      <c r="D136" t="s">
        <v>231</v>
      </c>
      <c r="E136">
        <v>1</v>
      </c>
      <c r="F136">
        <v>1</v>
      </c>
      <c r="G136">
        <v>1</v>
      </c>
      <c r="H136">
        <v>1</v>
      </c>
      <c r="I136">
        <v>1</v>
      </c>
      <c r="J136">
        <v>1</v>
      </c>
      <c r="K136">
        <v>1</v>
      </c>
      <c r="L136">
        <v>1</v>
      </c>
      <c r="M136">
        <v>1</v>
      </c>
      <c r="N136">
        <v>1</v>
      </c>
      <c r="O136">
        <v>1</v>
      </c>
      <c r="P136">
        <v>0</v>
      </c>
      <c r="Q136" t="s">
        <v>51</v>
      </c>
      <c r="R136" t="s">
        <v>51</v>
      </c>
      <c r="S136">
        <v>0</v>
      </c>
      <c r="T136" t="s">
        <v>51</v>
      </c>
      <c r="U136" t="s">
        <v>51</v>
      </c>
      <c r="V136">
        <v>0</v>
      </c>
      <c r="W136" t="s">
        <v>51</v>
      </c>
      <c r="X136" t="s">
        <v>51</v>
      </c>
      <c r="Y136">
        <v>1</v>
      </c>
      <c r="Z136">
        <v>1</v>
      </c>
      <c r="AA136">
        <v>1</v>
      </c>
      <c r="AB136">
        <v>1</v>
      </c>
      <c r="AC136">
        <v>1</v>
      </c>
      <c r="AD136">
        <v>1</v>
      </c>
      <c r="AE136">
        <v>1</v>
      </c>
      <c r="AF136">
        <v>2</v>
      </c>
      <c r="AG136">
        <v>1</v>
      </c>
      <c r="AH136">
        <v>1</v>
      </c>
      <c r="AI136">
        <v>1</v>
      </c>
      <c r="AJ136">
        <v>1</v>
      </c>
      <c r="AK136">
        <v>1</v>
      </c>
      <c r="AL136">
        <v>2</v>
      </c>
      <c r="AM136">
        <v>1</v>
      </c>
      <c r="AN136">
        <v>1</v>
      </c>
      <c r="AO136">
        <v>2</v>
      </c>
      <c r="AP136">
        <v>1</v>
      </c>
      <c r="AQ136">
        <v>1</v>
      </c>
      <c r="AR136">
        <v>1</v>
      </c>
      <c r="AS136">
        <v>1</v>
      </c>
      <c r="AT136">
        <v>1</v>
      </c>
      <c r="AU136">
        <v>1</v>
      </c>
      <c r="AV136">
        <v>1</v>
      </c>
      <c r="AX13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37" spans="1:50" hidden="1">
      <c r="A137">
        <v>136</v>
      </c>
      <c r="B137" t="s">
        <v>225</v>
      </c>
      <c r="C137" s="10">
        <v>39088873</v>
      </c>
      <c r="D137" t="s">
        <v>232</v>
      </c>
      <c r="E137">
        <v>1</v>
      </c>
      <c r="F137">
        <v>1</v>
      </c>
      <c r="G137">
        <v>1</v>
      </c>
      <c r="H137">
        <v>1</v>
      </c>
      <c r="I137">
        <v>1</v>
      </c>
      <c r="J137">
        <v>1</v>
      </c>
      <c r="K137">
        <v>1</v>
      </c>
      <c r="L137">
        <v>1</v>
      </c>
      <c r="M137">
        <v>1</v>
      </c>
      <c r="N137">
        <v>1</v>
      </c>
      <c r="O137">
        <v>1</v>
      </c>
      <c r="P137">
        <v>0</v>
      </c>
      <c r="Q137" t="s">
        <v>51</v>
      </c>
      <c r="R137" t="s">
        <v>51</v>
      </c>
      <c r="S137">
        <v>0</v>
      </c>
      <c r="T137" t="s">
        <v>51</v>
      </c>
      <c r="U137" t="s">
        <v>51</v>
      </c>
      <c r="V137">
        <v>1</v>
      </c>
      <c r="W137">
        <v>2</v>
      </c>
      <c r="X137">
        <v>1</v>
      </c>
      <c r="Y137">
        <v>1</v>
      </c>
      <c r="Z137">
        <v>1</v>
      </c>
      <c r="AA137">
        <v>1</v>
      </c>
      <c r="AB137">
        <v>0</v>
      </c>
      <c r="AC137" t="s">
        <v>51</v>
      </c>
      <c r="AD137" t="s">
        <v>51</v>
      </c>
      <c r="AE137">
        <v>1</v>
      </c>
      <c r="AF137">
        <v>1</v>
      </c>
      <c r="AG137">
        <v>1</v>
      </c>
      <c r="AH137">
        <v>1</v>
      </c>
      <c r="AI137">
        <v>1</v>
      </c>
      <c r="AJ137">
        <v>1</v>
      </c>
      <c r="AK137">
        <v>1</v>
      </c>
      <c r="AL137">
        <v>1</v>
      </c>
      <c r="AM137">
        <v>1</v>
      </c>
      <c r="AN137">
        <v>1</v>
      </c>
      <c r="AO137">
        <v>2</v>
      </c>
      <c r="AP137">
        <v>1</v>
      </c>
      <c r="AQ137">
        <v>1</v>
      </c>
      <c r="AR137">
        <v>1</v>
      </c>
      <c r="AS137">
        <v>1</v>
      </c>
      <c r="AT137">
        <v>1</v>
      </c>
      <c r="AU137">
        <v>1</v>
      </c>
      <c r="AV137">
        <v>1</v>
      </c>
      <c r="AX137">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38" spans="1:50" s="16" customFormat="1">
      <c r="A138" s="16">
        <v>137</v>
      </c>
      <c r="B138" s="16" t="s">
        <v>225</v>
      </c>
      <c r="C138" s="17">
        <v>39089057</v>
      </c>
      <c r="D138" s="16" t="s">
        <v>233</v>
      </c>
      <c r="E138" s="16">
        <v>1</v>
      </c>
      <c r="F138" s="16">
        <v>0</v>
      </c>
      <c r="G138" s="16">
        <v>1</v>
      </c>
      <c r="H138" s="16">
        <v>1</v>
      </c>
      <c r="I138" s="16">
        <v>1</v>
      </c>
      <c r="J138" s="16">
        <v>1</v>
      </c>
      <c r="K138" s="16">
        <v>1</v>
      </c>
      <c r="L138" s="16">
        <v>1</v>
      </c>
      <c r="M138" s="16">
        <v>1</v>
      </c>
      <c r="N138" s="16">
        <v>1</v>
      </c>
      <c r="O138" s="16">
        <v>1</v>
      </c>
      <c r="P138" s="16">
        <v>1</v>
      </c>
      <c r="Q138" s="16">
        <v>1</v>
      </c>
      <c r="R138" s="16">
        <v>1</v>
      </c>
      <c r="S138" s="16">
        <v>0</v>
      </c>
      <c r="T138" s="16" t="s">
        <v>51</v>
      </c>
      <c r="U138" s="16" t="s">
        <v>51</v>
      </c>
      <c r="V138" s="16">
        <v>1</v>
      </c>
      <c r="W138" s="16">
        <v>1</v>
      </c>
      <c r="X138" s="16">
        <v>2</v>
      </c>
      <c r="Y138" s="16">
        <v>0</v>
      </c>
      <c r="Z138" s="16" t="s">
        <v>51</v>
      </c>
      <c r="AA138" s="16" t="s">
        <v>51</v>
      </c>
      <c r="AB138" s="16">
        <v>0</v>
      </c>
      <c r="AC138" s="16" t="s">
        <v>51</v>
      </c>
      <c r="AD138" s="16" t="s">
        <v>51</v>
      </c>
      <c r="AE138" s="16">
        <v>1</v>
      </c>
      <c r="AF138" s="16">
        <v>1</v>
      </c>
      <c r="AG138" s="16">
        <v>1</v>
      </c>
      <c r="AH138" s="16">
        <v>1</v>
      </c>
      <c r="AI138" s="16">
        <v>1</v>
      </c>
      <c r="AJ138" s="16">
        <v>1</v>
      </c>
      <c r="AK138" s="16">
        <v>1</v>
      </c>
      <c r="AL138" s="16">
        <v>1</v>
      </c>
      <c r="AM138" s="16">
        <v>1</v>
      </c>
      <c r="AN138" s="16">
        <v>1</v>
      </c>
      <c r="AO138" s="16">
        <v>2</v>
      </c>
      <c r="AP138" s="16">
        <v>3</v>
      </c>
      <c r="AQ138" s="16">
        <v>1</v>
      </c>
      <c r="AR138" s="16">
        <v>1</v>
      </c>
      <c r="AS138" s="16">
        <v>1</v>
      </c>
      <c r="AT138" s="16">
        <v>1</v>
      </c>
      <c r="AU138" s="16">
        <v>1</v>
      </c>
      <c r="AV138" s="16">
        <v>1</v>
      </c>
      <c r="AW138" s="16" t="s">
        <v>234</v>
      </c>
      <c r="AX138" s="1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1</v>
      </c>
    </row>
    <row r="139" spans="1:50" hidden="1">
      <c r="A139">
        <v>138</v>
      </c>
      <c r="B139" t="s">
        <v>225</v>
      </c>
      <c r="C139" s="10">
        <v>39090252</v>
      </c>
      <c r="D139" t="s">
        <v>215</v>
      </c>
      <c r="E139">
        <v>1</v>
      </c>
      <c r="F139">
        <v>0</v>
      </c>
      <c r="G139">
        <v>1</v>
      </c>
      <c r="H139">
        <v>1</v>
      </c>
      <c r="I139">
        <v>1</v>
      </c>
      <c r="J139">
        <v>1</v>
      </c>
      <c r="K139">
        <v>1</v>
      </c>
      <c r="L139">
        <v>1</v>
      </c>
      <c r="M139">
        <v>1</v>
      </c>
      <c r="N139">
        <v>1</v>
      </c>
      <c r="O139">
        <v>1</v>
      </c>
      <c r="P139">
        <v>1</v>
      </c>
      <c r="Q139">
        <v>1</v>
      </c>
      <c r="R139">
        <v>1</v>
      </c>
      <c r="S139">
        <v>0</v>
      </c>
      <c r="T139" t="s">
        <v>51</v>
      </c>
      <c r="U139" t="s">
        <v>51</v>
      </c>
      <c r="V139">
        <v>0</v>
      </c>
      <c r="W139" t="s">
        <v>51</v>
      </c>
      <c r="X139" t="s">
        <v>51</v>
      </c>
      <c r="Y139">
        <v>1</v>
      </c>
      <c r="Z139">
        <v>2</v>
      </c>
      <c r="AA139">
        <v>1</v>
      </c>
      <c r="AB139">
        <v>1</v>
      </c>
      <c r="AC139">
        <v>2</v>
      </c>
      <c r="AD139">
        <v>1</v>
      </c>
      <c r="AE139">
        <v>1</v>
      </c>
      <c r="AF139">
        <v>1</v>
      </c>
      <c r="AG139">
        <v>1</v>
      </c>
      <c r="AH139">
        <v>1</v>
      </c>
      <c r="AI139">
        <v>1</v>
      </c>
      <c r="AJ139">
        <v>1</v>
      </c>
      <c r="AK139">
        <v>1</v>
      </c>
      <c r="AL139">
        <v>1</v>
      </c>
      <c r="AM139">
        <v>1</v>
      </c>
      <c r="AN139">
        <v>1</v>
      </c>
      <c r="AO139">
        <v>2</v>
      </c>
      <c r="AP139">
        <v>2</v>
      </c>
      <c r="AQ139">
        <v>1</v>
      </c>
      <c r="AR139">
        <v>1</v>
      </c>
      <c r="AS139">
        <v>2</v>
      </c>
      <c r="AT139">
        <v>1</v>
      </c>
      <c r="AU139">
        <v>1</v>
      </c>
      <c r="AV139">
        <v>2</v>
      </c>
      <c r="AW139" t="s">
        <v>235</v>
      </c>
      <c r="AX139">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40" spans="1:50" hidden="1">
      <c r="A140">
        <v>139</v>
      </c>
      <c r="B140" t="s">
        <v>225</v>
      </c>
      <c r="C140" s="10">
        <v>39089670</v>
      </c>
      <c r="D140" t="s">
        <v>236</v>
      </c>
      <c r="E140">
        <v>1</v>
      </c>
      <c r="F140">
        <v>0</v>
      </c>
      <c r="G140">
        <v>1</v>
      </c>
      <c r="H140">
        <v>1</v>
      </c>
      <c r="I140">
        <v>1</v>
      </c>
      <c r="J140">
        <v>1</v>
      </c>
      <c r="K140">
        <v>1</v>
      </c>
      <c r="L140">
        <v>1</v>
      </c>
      <c r="M140">
        <v>1</v>
      </c>
      <c r="N140">
        <v>1</v>
      </c>
      <c r="O140">
        <v>1</v>
      </c>
      <c r="P140">
        <v>1</v>
      </c>
      <c r="Q140">
        <v>2</v>
      </c>
      <c r="R140">
        <v>1</v>
      </c>
      <c r="S140">
        <v>0</v>
      </c>
      <c r="T140" t="s">
        <v>51</v>
      </c>
      <c r="U140" t="s">
        <v>51</v>
      </c>
      <c r="V140">
        <v>0</v>
      </c>
      <c r="W140" t="s">
        <v>51</v>
      </c>
      <c r="X140" t="s">
        <v>51</v>
      </c>
      <c r="Y140">
        <v>1</v>
      </c>
      <c r="Z140">
        <v>1</v>
      </c>
      <c r="AA140">
        <v>1</v>
      </c>
      <c r="AB140">
        <v>0</v>
      </c>
      <c r="AC140" t="s">
        <v>51</v>
      </c>
      <c r="AD140" t="s">
        <v>51</v>
      </c>
      <c r="AE140">
        <v>1</v>
      </c>
      <c r="AF140">
        <v>1</v>
      </c>
      <c r="AG140">
        <v>1</v>
      </c>
      <c r="AH140">
        <v>1</v>
      </c>
      <c r="AI140">
        <v>1</v>
      </c>
      <c r="AJ140">
        <v>1</v>
      </c>
      <c r="AK140">
        <v>1</v>
      </c>
      <c r="AL140">
        <v>1</v>
      </c>
      <c r="AM140">
        <v>1</v>
      </c>
      <c r="AN140">
        <v>0</v>
      </c>
      <c r="AO140" t="s">
        <v>51</v>
      </c>
      <c r="AP140" t="s">
        <v>51</v>
      </c>
      <c r="AQ140">
        <v>1</v>
      </c>
      <c r="AR140">
        <v>1</v>
      </c>
      <c r="AS140">
        <v>1</v>
      </c>
      <c r="AT140">
        <v>1</v>
      </c>
      <c r="AU140">
        <v>2</v>
      </c>
      <c r="AV140">
        <v>1</v>
      </c>
      <c r="AX140">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41" spans="1:50" hidden="1">
      <c r="A141">
        <v>140</v>
      </c>
      <c r="B141" t="s">
        <v>225</v>
      </c>
      <c r="C141" s="10">
        <v>39088677</v>
      </c>
      <c r="D141" t="s">
        <v>237</v>
      </c>
      <c r="E141">
        <v>2</v>
      </c>
      <c r="F141">
        <v>1</v>
      </c>
      <c r="G141">
        <v>1</v>
      </c>
      <c r="H141">
        <v>1</v>
      </c>
      <c r="I141">
        <v>1</v>
      </c>
      <c r="J141">
        <v>1</v>
      </c>
      <c r="K141">
        <v>1</v>
      </c>
      <c r="L141">
        <v>1</v>
      </c>
      <c r="M141">
        <v>1</v>
      </c>
      <c r="N141">
        <v>1</v>
      </c>
      <c r="O141">
        <v>1</v>
      </c>
      <c r="P141">
        <v>1</v>
      </c>
      <c r="Q141">
        <v>1</v>
      </c>
      <c r="R141">
        <v>1</v>
      </c>
      <c r="S141">
        <v>0</v>
      </c>
      <c r="T141" t="s">
        <v>51</v>
      </c>
      <c r="U141" t="s">
        <v>51</v>
      </c>
      <c r="V141">
        <v>0</v>
      </c>
      <c r="W141" t="s">
        <v>51</v>
      </c>
      <c r="X141" t="s">
        <v>51</v>
      </c>
      <c r="Y141">
        <v>1</v>
      </c>
      <c r="Z141">
        <v>1</v>
      </c>
      <c r="AA141">
        <v>1</v>
      </c>
      <c r="AB141">
        <v>1</v>
      </c>
      <c r="AC141">
        <v>1</v>
      </c>
      <c r="AD141">
        <v>1</v>
      </c>
      <c r="AE141">
        <v>1</v>
      </c>
      <c r="AF141">
        <v>1</v>
      </c>
      <c r="AG141">
        <v>1</v>
      </c>
      <c r="AH141">
        <v>1</v>
      </c>
      <c r="AI141">
        <v>1</v>
      </c>
      <c r="AJ141">
        <v>1</v>
      </c>
      <c r="AK141">
        <v>1</v>
      </c>
      <c r="AL141">
        <v>1</v>
      </c>
      <c r="AM141">
        <v>1</v>
      </c>
      <c r="AN141">
        <v>0</v>
      </c>
      <c r="AO141" t="s">
        <v>51</v>
      </c>
      <c r="AP141" t="s">
        <v>51</v>
      </c>
      <c r="AQ141">
        <v>1</v>
      </c>
      <c r="AR141">
        <v>1</v>
      </c>
      <c r="AS141">
        <v>1</v>
      </c>
      <c r="AT141">
        <v>1</v>
      </c>
      <c r="AU141">
        <v>1</v>
      </c>
      <c r="AV141">
        <v>1</v>
      </c>
      <c r="AX141">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42" spans="1:50" hidden="1">
      <c r="A142">
        <v>141</v>
      </c>
      <c r="B142" t="s">
        <v>238</v>
      </c>
      <c r="C142" s="10">
        <v>39102247</v>
      </c>
      <c r="D142" t="s">
        <v>239</v>
      </c>
      <c r="E142">
        <v>1</v>
      </c>
      <c r="F142">
        <v>1</v>
      </c>
      <c r="G142">
        <v>1</v>
      </c>
      <c r="H142">
        <v>1</v>
      </c>
      <c r="I142">
        <v>1</v>
      </c>
      <c r="J142">
        <v>1</v>
      </c>
      <c r="K142">
        <v>1</v>
      </c>
      <c r="L142">
        <v>1</v>
      </c>
      <c r="M142">
        <v>1</v>
      </c>
      <c r="N142">
        <v>1</v>
      </c>
      <c r="O142">
        <v>1</v>
      </c>
      <c r="P142">
        <v>0</v>
      </c>
      <c r="Q142" t="s">
        <v>51</v>
      </c>
      <c r="R142" t="s">
        <v>51</v>
      </c>
      <c r="S142">
        <v>0</v>
      </c>
      <c r="T142" t="s">
        <v>51</v>
      </c>
      <c r="U142" t="s">
        <v>51</v>
      </c>
      <c r="V142">
        <v>0</v>
      </c>
      <c r="W142" t="s">
        <v>51</v>
      </c>
      <c r="X142" t="s">
        <v>51</v>
      </c>
      <c r="Y142">
        <v>1</v>
      </c>
      <c r="Z142">
        <v>1</v>
      </c>
      <c r="AA142">
        <v>1</v>
      </c>
      <c r="AB142">
        <v>0</v>
      </c>
      <c r="AC142" t="s">
        <v>51</v>
      </c>
      <c r="AD142" t="s">
        <v>51</v>
      </c>
      <c r="AE142">
        <v>1</v>
      </c>
      <c r="AF142">
        <v>1</v>
      </c>
      <c r="AG142">
        <v>1</v>
      </c>
      <c r="AH142">
        <v>1</v>
      </c>
      <c r="AI142">
        <v>1</v>
      </c>
      <c r="AJ142">
        <v>1</v>
      </c>
      <c r="AK142">
        <v>1</v>
      </c>
      <c r="AL142">
        <v>1</v>
      </c>
      <c r="AM142">
        <v>1</v>
      </c>
      <c r="AN142">
        <v>1</v>
      </c>
      <c r="AO142">
        <v>2</v>
      </c>
      <c r="AP142">
        <v>1</v>
      </c>
      <c r="AQ142">
        <v>1</v>
      </c>
      <c r="AR142">
        <v>1</v>
      </c>
      <c r="AS142">
        <v>1</v>
      </c>
      <c r="AT142">
        <v>1</v>
      </c>
      <c r="AU142">
        <v>1</v>
      </c>
      <c r="AV142">
        <v>1</v>
      </c>
      <c r="AX142">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43" spans="1:50" hidden="1">
      <c r="A143">
        <v>142</v>
      </c>
      <c r="B143" t="s">
        <v>238</v>
      </c>
      <c r="C143" s="10">
        <v>35453452</v>
      </c>
      <c r="D143" t="s">
        <v>124</v>
      </c>
      <c r="E143">
        <v>2</v>
      </c>
      <c r="F143">
        <v>0</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c r="AD143">
        <v>1</v>
      </c>
      <c r="AE143">
        <v>1</v>
      </c>
      <c r="AF143">
        <v>1</v>
      </c>
      <c r="AG143">
        <v>1</v>
      </c>
      <c r="AH143">
        <v>1</v>
      </c>
      <c r="AI143">
        <v>1</v>
      </c>
      <c r="AJ143">
        <v>1</v>
      </c>
      <c r="AK143">
        <v>1</v>
      </c>
      <c r="AL143">
        <v>1</v>
      </c>
      <c r="AM143">
        <v>1</v>
      </c>
      <c r="AN143">
        <v>0</v>
      </c>
      <c r="AO143" t="s">
        <v>51</v>
      </c>
      <c r="AP143" t="s">
        <v>51</v>
      </c>
      <c r="AQ143">
        <v>1</v>
      </c>
      <c r="AR143">
        <v>1</v>
      </c>
      <c r="AS143">
        <v>1</v>
      </c>
      <c r="AT143">
        <v>1</v>
      </c>
      <c r="AU143">
        <v>1</v>
      </c>
      <c r="AV143">
        <v>1</v>
      </c>
      <c r="AX143">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44" spans="1:50" hidden="1">
      <c r="A144">
        <v>143</v>
      </c>
      <c r="B144" t="s">
        <v>238</v>
      </c>
      <c r="C144" s="10">
        <v>39091524</v>
      </c>
      <c r="D144" t="s">
        <v>240</v>
      </c>
      <c r="E144">
        <v>1</v>
      </c>
      <c r="F144">
        <v>0</v>
      </c>
      <c r="G144">
        <v>1</v>
      </c>
      <c r="H144">
        <v>1</v>
      </c>
      <c r="I144">
        <v>1</v>
      </c>
      <c r="J144">
        <v>1</v>
      </c>
      <c r="K144">
        <v>1</v>
      </c>
      <c r="L144">
        <v>1</v>
      </c>
      <c r="M144">
        <v>1</v>
      </c>
      <c r="N144">
        <v>1</v>
      </c>
      <c r="O144">
        <v>1</v>
      </c>
      <c r="P144">
        <v>0</v>
      </c>
      <c r="Q144" t="s">
        <v>51</v>
      </c>
      <c r="R144" t="s">
        <v>51</v>
      </c>
      <c r="S144">
        <v>0</v>
      </c>
      <c r="T144" t="s">
        <v>51</v>
      </c>
      <c r="U144" t="s">
        <v>51</v>
      </c>
      <c r="V144">
        <v>0</v>
      </c>
      <c r="W144" t="s">
        <v>51</v>
      </c>
      <c r="X144" t="s">
        <v>51</v>
      </c>
      <c r="Y144">
        <v>1</v>
      </c>
      <c r="Z144">
        <v>1</v>
      </c>
      <c r="AA144">
        <v>1</v>
      </c>
      <c r="AB144">
        <v>0</v>
      </c>
      <c r="AC144" t="s">
        <v>51</v>
      </c>
      <c r="AD144" t="s">
        <v>51</v>
      </c>
      <c r="AE144">
        <v>1</v>
      </c>
      <c r="AF144">
        <v>1</v>
      </c>
      <c r="AG144">
        <v>1</v>
      </c>
      <c r="AH144">
        <v>1</v>
      </c>
      <c r="AI144">
        <v>1</v>
      </c>
      <c r="AJ144">
        <v>1</v>
      </c>
      <c r="AK144">
        <v>1</v>
      </c>
      <c r="AL144">
        <v>1</v>
      </c>
      <c r="AM144">
        <v>1</v>
      </c>
      <c r="AN144">
        <v>0</v>
      </c>
      <c r="AO144" t="s">
        <v>51</v>
      </c>
      <c r="AP144" t="s">
        <v>51</v>
      </c>
      <c r="AQ144">
        <v>1</v>
      </c>
      <c r="AR144">
        <v>1</v>
      </c>
      <c r="AS144">
        <v>1</v>
      </c>
      <c r="AT144">
        <v>1</v>
      </c>
      <c r="AU144">
        <v>1</v>
      </c>
      <c r="AV144">
        <v>1</v>
      </c>
      <c r="AX144">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45" spans="1:50" s="16" customFormat="1">
      <c r="A145" s="16">
        <v>144</v>
      </c>
      <c r="B145" s="16" t="s">
        <v>238</v>
      </c>
      <c r="C145" s="17">
        <v>38307961</v>
      </c>
      <c r="D145" s="16" t="s">
        <v>241</v>
      </c>
      <c r="E145" s="16">
        <v>2</v>
      </c>
      <c r="F145" s="16">
        <v>0</v>
      </c>
      <c r="G145" s="16">
        <v>1</v>
      </c>
      <c r="H145" s="16">
        <v>1</v>
      </c>
      <c r="I145" s="16">
        <v>3</v>
      </c>
      <c r="J145" s="16">
        <v>1</v>
      </c>
      <c r="K145" s="16">
        <v>1</v>
      </c>
      <c r="L145" s="16">
        <v>1</v>
      </c>
      <c r="M145" s="16">
        <v>1</v>
      </c>
      <c r="N145" s="16">
        <v>1</v>
      </c>
      <c r="O145" s="16">
        <v>1</v>
      </c>
      <c r="P145" s="16">
        <v>0</v>
      </c>
      <c r="Q145" s="16" t="s">
        <v>51</v>
      </c>
      <c r="R145" s="16" t="s">
        <v>51</v>
      </c>
      <c r="S145" s="16">
        <v>0</v>
      </c>
      <c r="T145" s="16" t="s">
        <v>51</v>
      </c>
      <c r="U145" s="16" t="s">
        <v>51</v>
      </c>
      <c r="V145" s="16">
        <v>0</v>
      </c>
      <c r="W145" s="16" t="s">
        <v>51</v>
      </c>
      <c r="X145" s="16" t="s">
        <v>51</v>
      </c>
      <c r="Y145" s="16">
        <v>1</v>
      </c>
      <c r="Z145" s="16">
        <v>1</v>
      </c>
      <c r="AA145" s="16">
        <v>1</v>
      </c>
      <c r="AB145" s="16">
        <v>0</v>
      </c>
      <c r="AC145" s="16" t="s">
        <v>51</v>
      </c>
      <c r="AD145" s="16" t="s">
        <v>51</v>
      </c>
      <c r="AE145" s="16">
        <v>1</v>
      </c>
      <c r="AF145" s="16">
        <v>1</v>
      </c>
      <c r="AG145" s="16">
        <v>1</v>
      </c>
      <c r="AH145" s="16">
        <v>1</v>
      </c>
      <c r="AI145" s="16">
        <v>1</v>
      </c>
      <c r="AJ145" s="16">
        <v>1</v>
      </c>
      <c r="AK145" s="16">
        <v>1</v>
      </c>
      <c r="AL145" s="16">
        <v>1</v>
      </c>
      <c r="AM145" s="16">
        <v>1</v>
      </c>
      <c r="AN145" s="16">
        <v>0</v>
      </c>
      <c r="AO145" s="16" t="s">
        <v>51</v>
      </c>
      <c r="AP145" s="16" t="s">
        <v>51</v>
      </c>
      <c r="AQ145" s="16">
        <v>1</v>
      </c>
      <c r="AR145" s="16">
        <v>1</v>
      </c>
      <c r="AS145" s="16">
        <v>1</v>
      </c>
      <c r="AT145" s="16">
        <v>1</v>
      </c>
      <c r="AU145" s="16">
        <v>1</v>
      </c>
      <c r="AV145" s="16">
        <v>1</v>
      </c>
      <c r="AW145" s="18" t="s">
        <v>242</v>
      </c>
      <c r="AX145" s="18">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1</v>
      </c>
    </row>
    <row r="146" spans="1:50" hidden="1">
      <c r="A146">
        <v>145</v>
      </c>
      <c r="B146" t="s">
        <v>238</v>
      </c>
      <c r="C146" s="10">
        <v>39092254</v>
      </c>
      <c r="D146" t="s">
        <v>243</v>
      </c>
      <c r="E146">
        <v>1</v>
      </c>
      <c r="F146">
        <v>0</v>
      </c>
      <c r="G146">
        <v>1</v>
      </c>
      <c r="H146">
        <v>1</v>
      </c>
      <c r="I146">
        <v>1</v>
      </c>
      <c r="J146">
        <v>1</v>
      </c>
      <c r="K146">
        <v>1</v>
      </c>
      <c r="L146">
        <v>1</v>
      </c>
      <c r="M146">
        <v>1</v>
      </c>
      <c r="N146">
        <v>1</v>
      </c>
      <c r="O146">
        <v>1</v>
      </c>
      <c r="P146">
        <v>0</v>
      </c>
      <c r="Q146" t="s">
        <v>51</v>
      </c>
      <c r="R146" t="s">
        <v>51</v>
      </c>
      <c r="S146">
        <v>0</v>
      </c>
      <c r="T146" t="s">
        <v>51</v>
      </c>
      <c r="U146" t="s">
        <v>51</v>
      </c>
      <c r="V146">
        <v>0</v>
      </c>
      <c r="W146" t="s">
        <v>51</v>
      </c>
      <c r="X146" t="s">
        <v>51</v>
      </c>
      <c r="Y146">
        <v>1</v>
      </c>
      <c r="Z146">
        <v>1</v>
      </c>
      <c r="AA146">
        <v>1</v>
      </c>
      <c r="AB146">
        <v>1</v>
      </c>
      <c r="AC146">
        <v>2</v>
      </c>
      <c r="AD146">
        <v>1</v>
      </c>
      <c r="AE146">
        <v>1</v>
      </c>
      <c r="AF146">
        <v>1</v>
      </c>
      <c r="AG146">
        <v>1</v>
      </c>
      <c r="AH146">
        <v>1</v>
      </c>
      <c r="AI146">
        <v>1</v>
      </c>
      <c r="AJ146">
        <v>1</v>
      </c>
      <c r="AK146">
        <v>1</v>
      </c>
      <c r="AL146">
        <v>1</v>
      </c>
      <c r="AM146">
        <v>1</v>
      </c>
      <c r="AN146">
        <v>1</v>
      </c>
      <c r="AO146">
        <v>2</v>
      </c>
      <c r="AP146">
        <v>1</v>
      </c>
      <c r="AQ146">
        <v>1</v>
      </c>
      <c r="AR146">
        <v>1</v>
      </c>
      <c r="AS146">
        <v>1</v>
      </c>
      <c r="AT146">
        <v>1</v>
      </c>
      <c r="AU146">
        <v>1</v>
      </c>
      <c r="AV146">
        <v>1</v>
      </c>
      <c r="AX14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47" spans="1:50" hidden="1">
      <c r="A147">
        <v>146</v>
      </c>
      <c r="B147" t="s">
        <v>238</v>
      </c>
      <c r="C147" s="10">
        <v>35477186</v>
      </c>
      <c r="D147" t="s">
        <v>244</v>
      </c>
      <c r="E147">
        <v>1</v>
      </c>
      <c r="F147">
        <v>0</v>
      </c>
      <c r="G147">
        <v>1</v>
      </c>
      <c r="H147">
        <v>1</v>
      </c>
      <c r="I147">
        <v>1</v>
      </c>
      <c r="J147">
        <v>1</v>
      </c>
      <c r="K147">
        <v>1</v>
      </c>
      <c r="L147">
        <v>1</v>
      </c>
      <c r="M147">
        <v>1</v>
      </c>
      <c r="N147">
        <v>1</v>
      </c>
      <c r="O147">
        <v>1</v>
      </c>
      <c r="P147">
        <v>1</v>
      </c>
      <c r="Q147">
        <v>1</v>
      </c>
      <c r="R147">
        <v>1</v>
      </c>
      <c r="S147">
        <v>0</v>
      </c>
      <c r="T147" t="s">
        <v>51</v>
      </c>
      <c r="U147" t="s">
        <v>51</v>
      </c>
      <c r="V147">
        <v>0</v>
      </c>
      <c r="W147" t="s">
        <v>51</v>
      </c>
      <c r="X147" t="s">
        <v>51</v>
      </c>
      <c r="Y147">
        <v>1</v>
      </c>
      <c r="Z147">
        <v>1</v>
      </c>
      <c r="AA147">
        <v>1</v>
      </c>
      <c r="AB147">
        <v>0</v>
      </c>
      <c r="AC147" t="s">
        <v>51</v>
      </c>
      <c r="AD147" t="s">
        <v>51</v>
      </c>
      <c r="AE147">
        <v>1</v>
      </c>
      <c r="AF147">
        <v>1</v>
      </c>
      <c r="AG147">
        <v>1</v>
      </c>
      <c r="AH147">
        <v>1</v>
      </c>
      <c r="AI147">
        <v>1</v>
      </c>
      <c r="AJ147">
        <v>1</v>
      </c>
      <c r="AK147">
        <v>1</v>
      </c>
      <c r="AL147">
        <v>1</v>
      </c>
      <c r="AM147">
        <v>1</v>
      </c>
      <c r="AN147">
        <v>1</v>
      </c>
      <c r="AO147">
        <v>2</v>
      </c>
      <c r="AP147">
        <v>1</v>
      </c>
      <c r="AQ147">
        <v>1</v>
      </c>
      <c r="AR147">
        <v>1</v>
      </c>
      <c r="AS147">
        <v>1</v>
      </c>
      <c r="AT147">
        <v>1</v>
      </c>
      <c r="AU147">
        <v>1</v>
      </c>
      <c r="AV147">
        <v>1</v>
      </c>
      <c r="AX147">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48" spans="1:50" hidden="1">
      <c r="A148">
        <v>147</v>
      </c>
      <c r="B148" t="s">
        <v>238</v>
      </c>
      <c r="C148" s="10">
        <v>39090245</v>
      </c>
      <c r="D148" t="s">
        <v>245</v>
      </c>
      <c r="E148">
        <v>2</v>
      </c>
      <c r="F148">
        <v>0</v>
      </c>
      <c r="G148">
        <v>0</v>
      </c>
      <c r="H148" t="s">
        <v>51</v>
      </c>
      <c r="I148" t="s">
        <v>51</v>
      </c>
      <c r="J148">
        <v>1</v>
      </c>
      <c r="K148">
        <v>1</v>
      </c>
      <c r="L148">
        <v>1</v>
      </c>
      <c r="M148">
        <v>1</v>
      </c>
      <c r="N148">
        <v>1</v>
      </c>
      <c r="O148">
        <v>1</v>
      </c>
      <c r="P148">
        <v>0</v>
      </c>
      <c r="Q148" t="s">
        <v>51</v>
      </c>
      <c r="R148" t="s">
        <v>51</v>
      </c>
      <c r="S148">
        <v>0</v>
      </c>
      <c r="T148" t="s">
        <v>51</v>
      </c>
      <c r="U148" t="s">
        <v>51</v>
      </c>
      <c r="V148">
        <v>0</v>
      </c>
      <c r="W148" t="s">
        <v>51</v>
      </c>
      <c r="X148" t="s">
        <v>51</v>
      </c>
      <c r="Y148">
        <v>0</v>
      </c>
      <c r="Z148" t="s">
        <v>51</v>
      </c>
      <c r="AA148" t="s">
        <v>51</v>
      </c>
      <c r="AB148">
        <v>1</v>
      </c>
      <c r="AC148">
        <v>1</v>
      </c>
      <c r="AD148">
        <v>1</v>
      </c>
      <c r="AE148">
        <v>1</v>
      </c>
      <c r="AF148">
        <v>1</v>
      </c>
      <c r="AG148">
        <v>1</v>
      </c>
      <c r="AH148">
        <v>1</v>
      </c>
      <c r="AI148">
        <v>1</v>
      </c>
      <c r="AJ148">
        <v>1</v>
      </c>
      <c r="AK148">
        <v>1</v>
      </c>
      <c r="AL148">
        <v>1</v>
      </c>
      <c r="AM148">
        <v>1</v>
      </c>
      <c r="AN148">
        <v>0</v>
      </c>
      <c r="AO148" t="s">
        <v>51</v>
      </c>
      <c r="AP148" t="s">
        <v>51</v>
      </c>
      <c r="AQ148">
        <v>1</v>
      </c>
      <c r="AR148">
        <v>1</v>
      </c>
      <c r="AS148">
        <v>1</v>
      </c>
      <c r="AT148">
        <v>0</v>
      </c>
      <c r="AU148" t="s">
        <v>51</v>
      </c>
      <c r="AV148" t="s">
        <v>51</v>
      </c>
      <c r="AX148">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49" spans="1:50" hidden="1">
      <c r="A149">
        <v>148</v>
      </c>
      <c r="B149" t="s">
        <v>238</v>
      </c>
      <c r="C149" s="10">
        <v>39090421</v>
      </c>
      <c r="D149" t="s">
        <v>91</v>
      </c>
      <c r="E149">
        <v>1</v>
      </c>
      <c r="F149">
        <v>0</v>
      </c>
      <c r="G149">
        <v>1</v>
      </c>
      <c r="H149">
        <v>1</v>
      </c>
      <c r="I149">
        <v>1</v>
      </c>
      <c r="J149">
        <v>1</v>
      </c>
      <c r="K149">
        <v>1</v>
      </c>
      <c r="L149">
        <v>1</v>
      </c>
      <c r="M149">
        <v>1</v>
      </c>
      <c r="N149">
        <v>1</v>
      </c>
      <c r="O149">
        <v>1</v>
      </c>
      <c r="P149">
        <v>0</v>
      </c>
      <c r="Q149" t="s">
        <v>51</v>
      </c>
      <c r="R149" t="s">
        <v>51</v>
      </c>
      <c r="S149">
        <v>0</v>
      </c>
      <c r="T149" t="s">
        <v>51</v>
      </c>
      <c r="U149" t="s">
        <v>51</v>
      </c>
      <c r="V149">
        <v>0</v>
      </c>
      <c r="W149" t="s">
        <v>51</v>
      </c>
      <c r="X149" t="s">
        <v>51</v>
      </c>
      <c r="Y149">
        <v>1</v>
      </c>
      <c r="Z149">
        <v>2</v>
      </c>
      <c r="AA149">
        <v>1</v>
      </c>
      <c r="AB149">
        <v>0</v>
      </c>
      <c r="AC149" t="s">
        <v>51</v>
      </c>
      <c r="AD149" t="s">
        <v>51</v>
      </c>
      <c r="AE149">
        <v>1</v>
      </c>
      <c r="AF149">
        <v>1</v>
      </c>
      <c r="AG149">
        <v>1</v>
      </c>
      <c r="AH149">
        <v>1</v>
      </c>
      <c r="AI149">
        <v>1</v>
      </c>
      <c r="AJ149">
        <v>1</v>
      </c>
      <c r="AK149">
        <v>1</v>
      </c>
      <c r="AL149">
        <v>1</v>
      </c>
      <c r="AM149">
        <v>1</v>
      </c>
      <c r="AN149">
        <v>1</v>
      </c>
      <c r="AO149">
        <v>1</v>
      </c>
      <c r="AP149">
        <v>1</v>
      </c>
      <c r="AQ149">
        <v>1</v>
      </c>
      <c r="AR149">
        <v>1</v>
      </c>
      <c r="AS149">
        <v>1</v>
      </c>
      <c r="AT149">
        <v>1</v>
      </c>
      <c r="AU149">
        <v>1</v>
      </c>
      <c r="AV149">
        <v>2</v>
      </c>
      <c r="AW149" s="14"/>
      <c r="AX149" s="14">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50" spans="1:50" hidden="1">
      <c r="A150">
        <v>149</v>
      </c>
      <c r="B150" t="s">
        <v>238</v>
      </c>
      <c r="C150" s="10">
        <v>39090527</v>
      </c>
      <c r="D150" t="s">
        <v>246</v>
      </c>
      <c r="E150">
        <v>1</v>
      </c>
      <c r="F150">
        <v>0</v>
      </c>
      <c r="G150">
        <v>1</v>
      </c>
      <c r="H150">
        <v>1</v>
      </c>
      <c r="I150">
        <v>1</v>
      </c>
      <c r="J150">
        <v>1</v>
      </c>
      <c r="K150">
        <v>1</v>
      </c>
      <c r="L150">
        <v>1</v>
      </c>
      <c r="M150">
        <v>1</v>
      </c>
      <c r="N150">
        <v>1</v>
      </c>
      <c r="O150">
        <v>1</v>
      </c>
      <c r="P150">
        <v>0</v>
      </c>
      <c r="Q150" t="s">
        <v>51</v>
      </c>
      <c r="R150" t="s">
        <v>51</v>
      </c>
      <c r="S150">
        <v>0</v>
      </c>
      <c r="T150" t="s">
        <v>51</v>
      </c>
      <c r="U150" t="s">
        <v>51</v>
      </c>
      <c r="V150">
        <v>0</v>
      </c>
      <c r="W150" t="s">
        <v>51</v>
      </c>
      <c r="X150" t="s">
        <v>51</v>
      </c>
      <c r="Y150">
        <v>1</v>
      </c>
      <c r="Z150">
        <v>1</v>
      </c>
      <c r="AA150">
        <v>1</v>
      </c>
      <c r="AB150">
        <v>1</v>
      </c>
      <c r="AC150">
        <v>1</v>
      </c>
      <c r="AD150">
        <v>1</v>
      </c>
      <c r="AE150">
        <v>1</v>
      </c>
      <c r="AF150">
        <v>1</v>
      </c>
      <c r="AG150">
        <v>1</v>
      </c>
      <c r="AH150">
        <v>1</v>
      </c>
      <c r="AI150">
        <v>1</v>
      </c>
      <c r="AJ150">
        <v>1</v>
      </c>
      <c r="AK150">
        <v>1</v>
      </c>
      <c r="AL150">
        <v>1</v>
      </c>
      <c r="AM150">
        <v>1</v>
      </c>
      <c r="AN150">
        <v>1</v>
      </c>
      <c r="AO150">
        <v>1</v>
      </c>
      <c r="AP150">
        <v>1</v>
      </c>
      <c r="AQ150">
        <v>1</v>
      </c>
      <c r="AR150">
        <v>1</v>
      </c>
      <c r="AS150">
        <v>1</v>
      </c>
      <c r="AT150">
        <v>1</v>
      </c>
      <c r="AU150">
        <v>1</v>
      </c>
      <c r="AV150">
        <v>1</v>
      </c>
      <c r="AX150">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51" spans="1:50" hidden="1">
      <c r="A151">
        <v>150</v>
      </c>
      <c r="B151" t="s">
        <v>238</v>
      </c>
      <c r="C151" s="10">
        <v>39089829</v>
      </c>
      <c r="D151" t="s">
        <v>175</v>
      </c>
      <c r="E151">
        <v>1</v>
      </c>
      <c r="F151">
        <v>0</v>
      </c>
      <c r="G151">
        <v>1</v>
      </c>
      <c r="H151">
        <v>1</v>
      </c>
      <c r="I151">
        <v>1</v>
      </c>
      <c r="J151">
        <v>1</v>
      </c>
      <c r="K151">
        <v>1</v>
      </c>
      <c r="L151">
        <v>1</v>
      </c>
      <c r="M151">
        <v>1</v>
      </c>
      <c r="N151">
        <v>1</v>
      </c>
      <c r="O151">
        <v>1</v>
      </c>
      <c r="P151">
        <v>1</v>
      </c>
      <c r="Q151">
        <v>1</v>
      </c>
      <c r="R151">
        <v>1</v>
      </c>
      <c r="S151">
        <v>0</v>
      </c>
      <c r="T151" t="s">
        <v>51</v>
      </c>
      <c r="U151" t="s">
        <v>51</v>
      </c>
      <c r="V151">
        <v>0</v>
      </c>
      <c r="W151" t="s">
        <v>51</v>
      </c>
      <c r="X151" t="s">
        <v>51</v>
      </c>
      <c r="Y151">
        <v>1</v>
      </c>
      <c r="Z151">
        <v>1</v>
      </c>
      <c r="AA151">
        <v>1</v>
      </c>
      <c r="AB151">
        <v>1</v>
      </c>
      <c r="AC151">
        <v>1</v>
      </c>
      <c r="AD151">
        <v>1</v>
      </c>
      <c r="AE151">
        <v>1</v>
      </c>
      <c r="AF151">
        <v>1</v>
      </c>
      <c r="AG151">
        <v>1</v>
      </c>
      <c r="AH151">
        <v>1</v>
      </c>
      <c r="AI151">
        <v>1</v>
      </c>
      <c r="AJ151">
        <v>1</v>
      </c>
      <c r="AK151">
        <v>1</v>
      </c>
      <c r="AL151">
        <v>1</v>
      </c>
      <c r="AM151">
        <v>1</v>
      </c>
      <c r="AN151">
        <v>1</v>
      </c>
      <c r="AO151">
        <v>1</v>
      </c>
      <c r="AP151">
        <v>1</v>
      </c>
      <c r="AQ151">
        <v>1</v>
      </c>
      <c r="AR151">
        <v>1</v>
      </c>
      <c r="AS151">
        <v>1</v>
      </c>
      <c r="AT151">
        <v>1</v>
      </c>
      <c r="AU151">
        <v>1</v>
      </c>
      <c r="AV151">
        <v>1</v>
      </c>
      <c r="AX151">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52" spans="1:50" hidden="1">
      <c r="A152">
        <v>151</v>
      </c>
      <c r="B152" t="s">
        <v>247</v>
      </c>
      <c r="C152" s="10">
        <v>39102091</v>
      </c>
      <c r="D152" t="s">
        <v>248</v>
      </c>
      <c r="E152">
        <v>1</v>
      </c>
      <c r="F152">
        <v>0</v>
      </c>
      <c r="G152">
        <v>1</v>
      </c>
      <c r="H152">
        <v>1</v>
      </c>
      <c r="I152">
        <v>1</v>
      </c>
      <c r="J152">
        <v>1</v>
      </c>
      <c r="K152">
        <v>1</v>
      </c>
      <c r="L152">
        <v>1</v>
      </c>
      <c r="M152">
        <v>1</v>
      </c>
      <c r="N152">
        <v>1</v>
      </c>
      <c r="O152">
        <v>1</v>
      </c>
      <c r="P152">
        <v>1</v>
      </c>
      <c r="Q152">
        <v>1</v>
      </c>
      <c r="R152">
        <v>1</v>
      </c>
      <c r="S152">
        <v>0</v>
      </c>
      <c r="T152" t="s">
        <v>51</v>
      </c>
      <c r="U152" t="s">
        <v>51</v>
      </c>
      <c r="V152">
        <v>0</v>
      </c>
      <c r="W152" t="s">
        <v>51</v>
      </c>
      <c r="X152" t="s">
        <v>51</v>
      </c>
      <c r="Y152">
        <v>1</v>
      </c>
      <c r="Z152">
        <v>1</v>
      </c>
      <c r="AA152">
        <v>1</v>
      </c>
      <c r="AB152">
        <v>0</v>
      </c>
      <c r="AC152" t="s">
        <v>51</v>
      </c>
      <c r="AD152" t="s">
        <v>51</v>
      </c>
      <c r="AE152">
        <v>1</v>
      </c>
      <c r="AF152">
        <v>1</v>
      </c>
      <c r="AG152">
        <v>1</v>
      </c>
      <c r="AH152">
        <v>1</v>
      </c>
      <c r="AI152">
        <v>1</v>
      </c>
      <c r="AJ152">
        <v>1</v>
      </c>
      <c r="AK152">
        <v>1</v>
      </c>
      <c r="AL152">
        <v>1</v>
      </c>
      <c r="AM152">
        <v>1</v>
      </c>
      <c r="AN152">
        <v>1</v>
      </c>
      <c r="AO152">
        <v>1</v>
      </c>
      <c r="AP152">
        <v>1</v>
      </c>
      <c r="AQ152">
        <v>1</v>
      </c>
      <c r="AR152">
        <v>1</v>
      </c>
      <c r="AS152">
        <v>1</v>
      </c>
      <c r="AT152">
        <v>1</v>
      </c>
      <c r="AU152">
        <v>1</v>
      </c>
      <c r="AV152">
        <v>1</v>
      </c>
      <c r="AX152">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53" spans="1:50" hidden="1">
      <c r="A153">
        <v>152</v>
      </c>
      <c r="B153" t="s">
        <v>247</v>
      </c>
      <c r="C153" s="8" t="s">
        <v>249</v>
      </c>
      <c r="D153" t="s">
        <v>143</v>
      </c>
      <c r="E153">
        <v>1</v>
      </c>
      <c r="F153">
        <v>0</v>
      </c>
      <c r="G153">
        <v>1</v>
      </c>
      <c r="H153">
        <v>1</v>
      </c>
      <c r="I153">
        <v>1</v>
      </c>
      <c r="J153">
        <v>1</v>
      </c>
      <c r="K153">
        <v>1</v>
      </c>
      <c r="L153">
        <v>1</v>
      </c>
      <c r="M153">
        <v>1</v>
      </c>
      <c r="N153">
        <v>1</v>
      </c>
      <c r="O153">
        <v>1</v>
      </c>
      <c r="P153">
        <v>1</v>
      </c>
      <c r="Q153">
        <v>1</v>
      </c>
      <c r="R153">
        <v>1</v>
      </c>
      <c r="S153">
        <v>0</v>
      </c>
      <c r="T153" t="s">
        <v>51</v>
      </c>
      <c r="U153" t="s">
        <v>51</v>
      </c>
      <c r="V153">
        <v>0</v>
      </c>
      <c r="W153" t="s">
        <v>51</v>
      </c>
      <c r="X153" t="s">
        <v>51</v>
      </c>
      <c r="Y153">
        <v>1</v>
      </c>
      <c r="Z153">
        <v>1</v>
      </c>
      <c r="AA153">
        <v>1</v>
      </c>
      <c r="AB153">
        <v>1</v>
      </c>
      <c r="AC153">
        <v>1</v>
      </c>
      <c r="AD153">
        <v>1</v>
      </c>
      <c r="AE153">
        <v>1</v>
      </c>
      <c r="AF153">
        <v>2</v>
      </c>
      <c r="AG153">
        <v>1</v>
      </c>
      <c r="AH153">
        <v>1</v>
      </c>
      <c r="AI153">
        <v>1</v>
      </c>
      <c r="AJ153">
        <v>1</v>
      </c>
      <c r="AK153">
        <v>1</v>
      </c>
      <c r="AL153">
        <v>1</v>
      </c>
      <c r="AM153">
        <v>1</v>
      </c>
      <c r="AN153">
        <v>1</v>
      </c>
      <c r="AO153">
        <v>1</v>
      </c>
      <c r="AP153">
        <v>1</v>
      </c>
      <c r="AQ153">
        <v>1</v>
      </c>
      <c r="AR153">
        <v>1</v>
      </c>
      <c r="AS153">
        <v>1</v>
      </c>
      <c r="AT153">
        <v>1</v>
      </c>
      <c r="AU153">
        <v>1</v>
      </c>
      <c r="AV153">
        <v>1</v>
      </c>
      <c r="AX153">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54" spans="1:50" hidden="1">
      <c r="A154">
        <v>153</v>
      </c>
      <c r="B154" t="s">
        <v>247</v>
      </c>
      <c r="C154" s="10">
        <v>39099457</v>
      </c>
      <c r="D154" t="s">
        <v>250</v>
      </c>
      <c r="E154">
        <v>1</v>
      </c>
      <c r="F154">
        <v>0</v>
      </c>
      <c r="G154">
        <v>1</v>
      </c>
      <c r="H154">
        <v>1</v>
      </c>
      <c r="I154">
        <v>1</v>
      </c>
      <c r="J154">
        <v>1</v>
      </c>
      <c r="K154">
        <v>1</v>
      </c>
      <c r="L154">
        <v>1</v>
      </c>
      <c r="M154">
        <v>1</v>
      </c>
      <c r="N154">
        <v>1</v>
      </c>
      <c r="O154">
        <v>1</v>
      </c>
      <c r="P154">
        <v>1</v>
      </c>
      <c r="Q154">
        <v>1</v>
      </c>
      <c r="R154">
        <v>1</v>
      </c>
      <c r="S154">
        <v>0</v>
      </c>
      <c r="T154" t="s">
        <v>51</v>
      </c>
      <c r="U154" t="s">
        <v>51</v>
      </c>
      <c r="V154">
        <v>0</v>
      </c>
      <c r="W154" t="s">
        <v>51</v>
      </c>
      <c r="X154" t="s">
        <v>51</v>
      </c>
      <c r="Y154">
        <v>1</v>
      </c>
      <c r="Z154">
        <v>1</v>
      </c>
      <c r="AA154">
        <v>1</v>
      </c>
      <c r="AB154">
        <v>1</v>
      </c>
      <c r="AC154">
        <v>1</v>
      </c>
      <c r="AD154">
        <v>1</v>
      </c>
      <c r="AE154">
        <v>1</v>
      </c>
      <c r="AF154">
        <v>1</v>
      </c>
      <c r="AG154">
        <v>1</v>
      </c>
      <c r="AH154">
        <v>1</v>
      </c>
      <c r="AI154">
        <v>1</v>
      </c>
      <c r="AJ154">
        <v>1</v>
      </c>
      <c r="AK154">
        <v>1</v>
      </c>
      <c r="AL154">
        <v>1</v>
      </c>
      <c r="AM154">
        <v>1</v>
      </c>
      <c r="AN154">
        <v>1</v>
      </c>
      <c r="AO154">
        <v>1</v>
      </c>
      <c r="AP154">
        <v>1</v>
      </c>
      <c r="AQ154">
        <v>1</v>
      </c>
      <c r="AR154">
        <v>1</v>
      </c>
      <c r="AS154">
        <v>1</v>
      </c>
      <c r="AT154">
        <v>1</v>
      </c>
      <c r="AU154">
        <v>1</v>
      </c>
      <c r="AV154">
        <v>1</v>
      </c>
      <c r="AX154">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55" spans="1:50" hidden="1">
      <c r="A155">
        <v>154</v>
      </c>
      <c r="B155" t="s">
        <v>247</v>
      </c>
      <c r="C155" s="10">
        <v>39091279</v>
      </c>
      <c r="D155" t="s">
        <v>251</v>
      </c>
      <c r="E155">
        <v>1</v>
      </c>
      <c r="F155">
        <v>1</v>
      </c>
      <c r="G155">
        <v>1</v>
      </c>
      <c r="H155">
        <v>1</v>
      </c>
      <c r="I155">
        <v>1</v>
      </c>
      <c r="J155">
        <v>1</v>
      </c>
      <c r="K155">
        <v>1</v>
      </c>
      <c r="L155">
        <v>1</v>
      </c>
      <c r="M155">
        <v>1</v>
      </c>
      <c r="N155">
        <v>1</v>
      </c>
      <c r="O155">
        <v>1</v>
      </c>
      <c r="P155">
        <v>0</v>
      </c>
      <c r="Q155" t="s">
        <v>51</v>
      </c>
      <c r="R155" t="s">
        <v>51</v>
      </c>
      <c r="S155">
        <v>1</v>
      </c>
      <c r="T155">
        <v>1</v>
      </c>
      <c r="U155">
        <v>1</v>
      </c>
      <c r="V155">
        <v>1</v>
      </c>
      <c r="W155">
        <v>1</v>
      </c>
      <c r="X155">
        <v>1</v>
      </c>
      <c r="Y155">
        <v>1</v>
      </c>
      <c r="Z155">
        <v>1</v>
      </c>
      <c r="AA155">
        <v>1</v>
      </c>
      <c r="AB155">
        <v>0</v>
      </c>
      <c r="AC155" t="s">
        <v>51</v>
      </c>
      <c r="AD155" t="s">
        <v>51</v>
      </c>
      <c r="AE155">
        <v>1</v>
      </c>
      <c r="AF155">
        <v>1</v>
      </c>
      <c r="AG155">
        <v>1</v>
      </c>
      <c r="AH155">
        <v>1</v>
      </c>
      <c r="AI155">
        <v>1</v>
      </c>
      <c r="AJ155">
        <v>1</v>
      </c>
      <c r="AK155">
        <v>1</v>
      </c>
      <c r="AL155">
        <v>1</v>
      </c>
      <c r="AM155">
        <v>1</v>
      </c>
      <c r="AN155">
        <v>1</v>
      </c>
      <c r="AO155">
        <v>1</v>
      </c>
      <c r="AP155">
        <v>1</v>
      </c>
      <c r="AQ155">
        <v>1</v>
      </c>
      <c r="AR155">
        <v>1</v>
      </c>
      <c r="AS155">
        <v>1</v>
      </c>
      <c r="AT155">
        <v>1</v>
      </c>
      <c r="AU155">
        <v>1</v>
      </c>
      <c r="AV155">
        <v>1</v>
      </c>
      <c r="AX155">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56" spans="1:50" hidden="1">
      <c r="A156">
        <v>155</v>
      </c>
      <c r="B156" t="s">
        <v>247</v>
      </c>
      <c r="C156" s="10">
        <v>39098860</v>
      </c>
      <c r="D156" t="s">
        <v>147</v>
      </c>
      <c r="E156">
        <v>1</v>
      </c>
      <c r="F156">
        <v>0</v>
      </c>
      <c r="G156">
        <v>1</v>
      </c>
      <c r="H156">
        <v>1</v>
      </c>
      <c r="I156">
        <v>1</v>
      </c>
      <c r="J156">
        <v>1</v>
      </c>
      <c r="K156">
        <v>1</v>
      </c>
      <c r="L156">
        <v>1</v>
      </c>
      <c r="M156">
        <v>1</v>
      </c>
      <c r="N156">
        <v>1</v>
      </c>
      <c r="O156">
        <v>1</v>
      </c>
      <c r="P156">
        <v>0</v>
      </c>
      <c r="Q156" t="s">
        <v>51</v>
      </c>
      <c r="R156" t="s">
        <v>51</v>
      </c>
      <c r="S156">
        <v>0</v>
      </c>
      <c r="T156" t="s">
        <v>51</v>
      </c>
      <c r="U156" t="s">
        <v>51</v>
      </c>
      <c r="V156">
        <v>0</v>
      </c>
      <c r="W156" t="s">
        <v>51</v>
      </c>
      <c r="X156" t="s">
        <v>51</v>
      </c>
      <c r="Y156">
        <v>1</v>
      </c>
      <c r="Z156">
        <v>1</v>
      </c>
      <c r="AA156">
        <v>1</v>
      </c>
      <c r="AB156">
        <v>0</v>
      </c>
      <c r="AC156" t="s">
        <v>51</v>
      </c>
      <c r="AD156" t="s">
        <v>51</v>
      </c>
      <c r="AE156">
        <v>1</v>
      </c>
      <c r="AF156">
        <v>1</v>
      </c>
      <c r="AG156">
        <v>1</v>
      </c>
      <c r="AH156">
        <v>1</v>
      </c>
      <c r="AI156">
        <v>1</v>
      </c>
      <c r="AJ156">
        <v>1</v>
      </c>
      <c r="AK156">
        <v>1</v>
      </c>
      <c r="AL156">
        <v>1</v>
      </c>
      <c r="AM156">
        <v>1</v>
      </c>
      <c r="AN156">
        <v>1</v>
      </c>
      <c r="AO156">
        <v>2</v>
      </c>
      <c r="AP156">
        <v>1</v>
      </c>
      <c r="AQ156">
        <v>1</v>
      </c>
      <c r="AR156">
        <v>1</v>
      </c>
      <c r="AS156">
        <v>1</v>
      </c>
      <c r="AT156">
        <v>1</v>
      </c>
      <c r="AU156">
        <v>1</v>
      </c>
      <c r="AV156">
        <v>1</v>
      </c>
      <c r="AX15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57" spans="1:50" hidden="1">
      <c r="A157">
        <v>156</v>
      </c>
      <c r="B157" t="s">
        <v>247</v>
      </c>
      <c r="C157" s="10">
        <v>39095752</v>
      </c>
      <c r="D157" t="s">
        <v>252</v>
      </c>
      <c r="E157">
        <v>2</v>
      </c>
      <c r="F157">
        <v>0</v>
      </c>
      <c r="G157">
        <v>1</v>
      </c>
      <c r="H157">
        <v>1</v>
      </c>
      <c r="I157">
        <v>1</v>
      </c>
      <c r="J157">
        <v>1</v>
      </c>
      <c r="K157">
        <v>1</v>
      </c>
      <c r="L157">
        <v>1</v>
      </c>
      <c r="M157">
        <v>1</v>
      </c>
      <c r="N157">
        <v>1</v>
      </c>
      <c r="O157">
        <v>1</v>
      </c>
      <c r="P157">
        <v>0</v>
      </c>
      <c r="Q157" t="s">
        <v>51</v>
      </c>
      <c r="R157" t="s">
        <v>51</v>
      </c>
      <c r="S157">
        <v>0</v>
      </c>
      <c r="T157" t="s">
        <v>51</v>
      </c>
      <c r="U157" t="s">
        <v>51</v>
      </c>
      <c r="V157">
        <v>0</v>
      </c>
      <c r="W157" t="s">
        <v>51</v>
      </c>
      <c r="X157" t="s">
        <v>51</v>
      </c>
      <c r="Y157">
        <v>1</v>
      </c>
      <c r="Z157">
        <v>1</v>
      </c>
      <c r="AA157">
        <v>1</v>
      </c>
      <c r="AB157">
        <v>1</v>
      </c>
      <c r="AC157">
        <v>1</v>
      </c>
      <c r="AD157">
        <v>1</v>
      </c>
      <c r="AE157">
        <v>1</v>
      </c>
      <c r="AF157">
        <v>1</v>
      </c>
      <c r="AG157">
        <v>1</v>
      </c>
      <c r="AH157">
        <v>1</v>
      </c>
      <c r="AI157">
        <v>1</v>
      </c>
      <c r="AJ157">
        <v>1</v>
      </c>
      <c r="AK157">
        <v>1</v>
      </c>
      <c r="AL157">
        <v>1</v>
      </c>
      <c r="AM157">
        <v>1</v>
      </c>
      <c r="AN157">
        <v>0</v>
      </c>
      <c r="AO157" t="s">
        <v>51</v>
      </c>
      <c r="AP157" t="s">
        <v>51</v>
      </c>
      <c r="AQ157">
        <v>1</v>
      </c>
      <c r="AR157">
        <v>1</v>
      </c>
      <c r="AS157">
        <v>1</v>
      </c>
      <c r="AT157">
        <v>1</v>
      </c>
      <c r="AU157">
        <v>1</v>
      </c>
      <c r="AV157">
        <v>1</v>
      </c>
      <c r="AX157">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58" spans="1:50" hidden="1">
      <c r="A158">
        <v>157</v>
      </c>
      <c r="B158" t="s">
        <v>247</v>
      </c>
      <c r="C158" s="10">
        <v>39092227</v>
      </c>
      <c r="D158" t="s">
        <v>253</v>
      </c>
      <c r="E158">
        <v>1</v>
      </c>
      <c r="F158">
        <v>0</v>
      </c>
      <c r="G158">
        <v>1</v>
      </c>
      <c r="H158">
        <v>1</v>
      </c>
      <c r="I158">
        <v>1</v>
      </c>
      <c r="J158">
        <v>1</v>
      </c>
      <c r="K158">
        <v>1</v>
      </c>
      <c r="L158">
        <v>1</v>
      </c>
      <c r="M158">
        <v>1</v>
      </c>
      <c r="N158">
        <v>1</v>
      </c>
      <c r="O158">
        <v>1</v>
      </c>
      <c r="P158">
        <v>1</v>
      </c>
      <c r="Q158">
        <v>1</v>
      </c>
      <c r="R158">
        <v>1</v>
      </c>
      <c r="S158">
        <v>0</v>
      </c>
      <c r="T158" t="s">
        <v>51</v>
      </c>
      <c r="U158" t="s">
        <v>51</v>
      </c>
      <c r="V158">
        <v>1</v>
      </c>
      <c r="W158">
        <v>1</v>
      </c>
      <c r="X158">
        <v>1</v>
      </c>
      <c r="Y158">
        <v>1</v>
      </c>
      <c r="Z158">
        <v>1</v>
      </c>
      <c r="AA158">
        <v>1</v>
      </c>
      <c r="AB158">
        <v>1</v>
      </c>
      <c r="AC158">
        <v>1</v>
      </c>
      <c r="AD158">
        <v>1</v>
      </c>
      <c r="AE158">
        <v>1</v>
      </c>
      <c r="AF158">
        <v>1</v>
      </c>
      <c r="AG158">
        <v>1</v>
      </c>
      <c r="AH158">
        <v>1</v>
      </c>
      <c r="AI158">
        <v>1</v>
      </c>
      <c r="AJ158">
        <v>1</v>
      </c>
      <c r="AK158">
        <v>1</v>
      </c>
      <c r="AL158">
        <v>1</v>
      </c>
      <c r="AM158">
        <v>1</v>
      </c>
      <c r="AN158">
        <v>1</v>
      </c>
      <c r="AO158">
        <v>1</v>
      </c>
      <c r="AP158">
        <v>1</v>
      </c>
      <c r="AQ158">
        <v>1</v>
      </c>
      <c r="AR158">
        <v>1</v>
      </c>
      <c r="AS158">
        <v>1</v>
      </c>
      <c r="AT158">
        <v>1</v>
      </c>
      <c r="AU158">
        <v>1</v>
      </c>
      <c r="AV158">
        <v>1</v>
      </c>
      <c r="AX158">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59" spans="1:50" hidden="1">
      <c r="A159">
        <v>158</v>
      </c>
      <c r="B159" t="s">
        <v>247</v>
      </c>
      <c r="C159" s="10">
        <v>39091067</v>
      </c>
      <c r="D159" t="s">
        <v>254</v>
      </c>
      <c r="E159">
        <v>1</v>
      </c>
      <c r="F159">
        <v>0</v>
      </c>
      <c r="G159">
        <v>1</v>
      </c>
      <c r="H159">
        <v>1</v>
      </c>
      <c r="I159">
        <v>1</v>
      </c>
      <c r="J159">
        <v>1</v>
      </c>
      <c r="K159">
        <v>1</v>
      </c>
      <c r="L159">
        <v>1</v>
      </c>
      <c r="M159">
        <v>1</v>
      </c>
      <c r="N159">
        <v>1</v>
      </c>
      <c r="O159">
        <v>1</v>
      </c>
      <c r="P159">
        <v>1</v>
      </c>
      <c r="Q159">
        <v>1</v>
      </c>
      <c r="R159">
        <v>1</v>
      </c>
      <c r="S159">
        <v>0</v>
      </c>
      <c r="T159" t="s">
        <v>51</v>
      </c>
      <c r="U159" t="s">
        <v>51</v>
      </c>
      <c r="V159">
        <v>0</v>
      </c>
      <c r="W159" t="s">
        <v>51</v>
      </c>
      <c r="X159" t="s">
        <v>51</v>
      </c>
      <c r="Y159">
        <v>1</v>
      </c>
      <c r="Z159">
        <v>1</v>
      </c>
      <c r="AA159">
        <v>1</v>
      </c>
      <c r="AB159">
        <v>1</v>
      </c>
      <c r="AC159">
        <v>1</v>
      </c>
      <c r="AD159">
        <v>1</v>
      </c>
      <c r="AE159">
        <v>1</v>
      </c>
      <c r="AF159">
        <v>1</v>
      </c>
      <c r="AG159">
        <v>1</v>
      </c>
      <c r="AH159">
        <v>1</v>
      </c>
      <c r="AI159">
        <v>1</v>
      </c>
      <c r="AJ159">
        <v>1</v>
      </c>
      <c r="AK159">
        <v>1</v>
      </c>
      <c r="AL159">
        <v>1</v>
      </c>
      <c r="AM159">
        <v>1</v>
      </c>
      <c r="AN159">
        <v>1</v>
      </c>
      <c r="AO159">
        <v>2</v>
      </c>
      <c r="AP159">
        <v>1</v>
      </c>
      <c r="AQ159">
        <v>1</v>
      </c>
      <c r="AR159">
        <v>1</v>
      </c>
      <c r="AS159">
        <v>1</v>
      </c>
      <c r="AT159">
        <v>1</v>
      </c>
      <c r="AU159">
        <v>1</v>
      </c>
      <c r="AV159">
        <v>1</v>
      </c>
      <c r="AX159">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60" spans="1:50" hidden="1">
      <c r="A160">
        <v>159</v>
      </c>
      <c r="B160" t="s">
        <v>247</v>
      </c>
      <c r="C160" s="10">
        <v>39085388</v>
      </c>
      <c r="D160" t="s">
        <v>255</v>
      </c>
      <c r="E160">
        <v>1</v>
      </c>
      <c r="F160">
        <v>0</v>
      </c>
      <c r="G160">
        <v>1</v>
      </c>
      <c r="H160">
        <v>1</v>
      </c>
      <c r="I160">
        <v>1</v>
      </c>
      <c r="J160">
        <v>1</v>
      </c>
      <c r="K160">
        <v>1</v>
      </c>
      <c r="L160">
        <v>1</v>
      </c>
      <c r="M160">
        <v>1</v>
      </c>
      <c r="N160">
        <v>1</v>
      </c>
      <c r="O160">
        <v>1</v>
      </c>
      <c r="P160">
        <v>1</v>
      </c>
      <c r="Q160">
        <v>1</v>
      </c>
      <c r="R160">
        <v>1</v>
      </c>
      <c r="S160">
        <v>0</v>
      </c>
      <c r="T160" t="s">
        <v>51</v>
      </c>
      <c r="U160" t="s">
        <v>51</v>
      </c>
      <c r="V160">
        <v>0</v>
      </c>
      <c r="W160" t="s">
        <v>51</v>
      </c>
      <c r="X160" t="s">
        <v>51</v>
      </c>
      <c r="Y160">
        <v>1</v>
      </c>
      <c r="Z160">
        <v>1</v>
      </c>
      <c r="AA160">
        <v>1</v>
      </c>
      <c r="AB160">
        <v>0</v>
      </c>
      <c r="AC160" t="s">
        <v>51</v>
      </c>
      <c r="AD160" t="s">
        <v>51</v>
      </c>
      <c r="AE160">
        <v>1</v>
      </c>
      <c r="AF160">
        <v>1</v>
      </c>
      <c r="AG160">
        <v>1</v>
      </c>
      <c r="AH160">
        <v>1</v>
      </c>
      <c r="AI160">
        <v>1</v>
      </c>
      <c r="AJ160">
        <v>1</v>
      </c>
      <c r="AK160">
        <v>1</v>
      </c>
      <c r="AL160">
        <v>1</v>
      </c>
      <c r="AM160">
        <v>1</v>
      </c>
      <c r="AN160">
        <v>1</v>
      </c>
      <c r="AO160">
        <v>1</v>
      </c>
      <c r="AP160">
        <v>1</v>
      </c>
      <c r="AQ160">
        <v>1</v>
      </c>
      <c r="AR160">
        <v>1</v>
      </c>
      <c r="AS160">
        <v>1</v>
      </c>
      <c r="AT160">
        <v>1</v>
      </c>
      <c r="AU160">
        <v>1</v>
      </c>
      <c r="AV160">
        <v>1</v>
      </c>
      <c r="AX160">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61" spans="1:50" hidden="1">
      <c r="A161">
        <v>160</v>
      </c>
      <c r="B161" t="s">
        <v>247</v>
      </c>
      <c r="C161" s="10">
        <v>39091998</v>
      </c>
      <c r="D161" t="s">
        <v>212</v>
      </c>
      <c r="E161">
        <v>1</v>
      </c>
      <c r="F161">
        <v>0</v>
      </c>
      <c r="G161">
        <v>1</v>
      </c>
      <c r="H161">
        <v>1</v>
      </c>
      <c r="I161">
        <v>1</v>
      </c>
      <c r="J161">
        <v>1</v>
      </c>
      <c r="K161">
        <v>1</v>
      </c>
      <c r="L161">
        <v>1</v>
      </c>
      <c r="M161">
        <v>1</v>
      </c>
      <c r="N161">
        <v>1</v>
      </c>
      <c r="O161">
        <v>1</v>
      </c>
      <c r="P161">
        <v>1</v>
      </c>
      <c r="Q161">
        <v>1</v>
      </c>
      <c r="R161">
        <v>1</v>
      </c>
      <c r="S161">
        <v>0</v>
      </c>
      <c r="T161" t="s">
        <v>51</v>
      </c>
      <c r="U161" t="s">
        <v>51</v>
      </c>
      <c r="V161">
        <v>0</v>
      </c>
      <c r="W161" t="s">
        <v>51</v>
      </c>
      <c r="X161" t="s">
        <v>51</v>
      </c>
      <c r="Y161">
        <v>1</v>
      </c>
      <c r="Z161">
        <v>1</v>
      </c>
      <c r="AA161">
        <v>1</v>
      </c>
      <c r="AB161">
        <v>1</v>
      </c>
      <c r="AC161">
        <v>1</v>
      </c>
      <c r="AD161">
        <v>1</v>
      </c>
      <c r="AE161">
        <v>1</v>
      </c>
      <c r="AF161">
        <v>1</v>
      </c>
      <c r="AG161">
        <v>1</v>
      </c>
      <c r="AH161">
        <v>1</v>
      </c>
      <c r="AI161">
        <v>1</v>
      </c>
      <c r="AJ161">
        <v>1</v>
      </c>
      <c r="AK161">
        <v>1</v>
      </c>
      <c r="AL161">
        <v>1</v>
      </c>
      <c r="AM161">
        <v>1</v>
      </c>
      <c r="AN161">
        <v>1</v>
      </c>
      <c r="AO161">
        <v>1</v>
      </c>
      <c r="AP161">
        <v>1</v>
      </c>
      <c r="AQ161">
        <v>1</v>
      </c>
      <c r="AR161">
        <v>1</v>
      </c>
      <c r="AS161">
        <v>1</v>
      </c>
      <c r="AT161">
        <v>1</v>
      </c>
      <c r="AU161">
        <v>1</v>
      </c>
      <c r="AV161">
        <v>2</v>
      </c>
      <c r="AX161">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62" spans="1:50" hidden="1">
      <c r="A162">
        <v>161</v>
      </c>
      <c r="B162" t="s">
        <v>256</v>
      </c>
      <c r="C162" s="10">
        <v>39089488</v>
      </c>
      <c r="D162" t="s">
        <v>182</v>
      </c>
      <c r="E162">
        <v>1</v>
      </c>
      <c r="F162">
        <v>0</v>
      </c>
      <c r="G162">
        <v>1</v>
      </c>
      <c r="H162">
        <v>1</v>
      </c>
      <c r="I162">
        <v>1</v>
      </c>
      <c r="J162">
        <v>1</v>
      </c>
      <c r="K162">
        <v>1</v>
      </c>
      <c r="L162">
        <v>1</v>
      </c>
      <c r="M162">
        <v>1</v>
      </c>
      <c r="N162">
        <v>1</v>
      </c>
      <c r="O162">
        <v>1</v>
      </c>
      <c r="P162">
        <v>1</v>
      </c>
      <c r="Q162">
        <v>1</v>
      </c>
      <c r="R162">
        <v>1</v>
      </c>
      <c r="S162">
        <v>0</v>
      </c>
      <c r="T162" t="s">
        <v>51</v>
      </c>
      <c r="U162" t="s">
        <v>51</v>
      </c>
      <c r="V162">
        <v>0</v>
      </c>
      <c r="W162" t="s">
        <v>51</v>
      </c>
      <c r="X162" t="s">
        <v>51</v>
      </c>
      <c r="Y162">
        <v>1</v>
      </c>
      <c r="Z162">
        <v>1</v>
      </c>
      <c r="AA162">
        <v>1</v>
      </c>
      <c r="AB162">
        <v>1</v>
      </c>
      <c r="AC162">
        <v>1</v>
      </c>
      <c r="AD162">
        <v>1</v>
      </c>
      <c r="AE162">
        <v>1</v>
      </c>
      <c r="AF162">
        <v>1</v>
      </c>
      <c r="AG162">
        <v>1</v>
      </c>
      <c r="AH162">
        <v>1</v>
      </c>
      <c r="AI162">
        <v>1</v>
      </c>
      <c r="AJ162">
        <v>1</v>
      </c>
      <c r="AK162">
        <v>1</v>
      </c>
      <c r="AL162">
        <v>1</v>
      </c>
      <c r="AM162">
        <v>1</v>
      </c>
      <c r="AN162">
        <v>0</v>
      </c>
      <c r="AO162" t="s">
        <v>51</v>
      </c>
      <c r="AP162" t="s">
        <v>51</v>
      </c>
      <c r="AQ162">
        <v>1</v>
      </c>
      <c r="AR162">
        <v>1</v>
      </c>
      <c r="AS162">
        <v>1</v>
      </c>
      <c r="AT162">
        <v>1</v>
      </c>
      <c r="AU162">
        <v>1</v>
      </c>
      <c r="AV162">
        <v>1</v>
      </c>
      <c r="AX162">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63" spans="1:50" s="21" customFormat="1" hidden="1">
      <c r="A163" s="21">
        <v>162</v>
      </c>
      <c r="B163" s="21" t="s">
        <v>256</v>
      </c>
      <c r="C163" s="22">
        <v>39090606</v>
      </c>
      <c r="D163" s="21" t="s">
        <v>176</v>
      </c>
      <c r="E163" s="21">
        <v>1</v>
      </c>
      <c r="F163" s="21">
        <v>0</v>
      </c>
      <c r="G163" s="21">
        <v>1</v>
      </c>
      <c r="H163" s="21">
        <v>1</v>
      </c>
      <c r="I163" s="21">
        <v>1</v>
      </c>
      <c r="J163" s="21">
        <v>1</v>
      </c>
      <c r="K163" s="21">
        <v>1</v>
      </c>
      <c r="L163" s="21">
        <v>1</v>
      </c>
      <c r="M163" s="21">
        <v>1</v>
      </c>
      <c r="N163" s="21">
        <v>1</v>
      </c>
      <c r="O163" s="21">
        <v>1</v>
      </c>
      <c r="P163" s="21">
        <v>1</v>
      </c>
      <c r="Q163" s="21">
        <v>1</v>
      </c>
      <c r="R163" s="21">
        <v>1</v>
      </c>
      <c r="S163" s="21">
        <v>0</v>
      </c>
      <c r="T163" s="21" t="s">
        <v>51</v>
      </c>
      <c r="U163" s="21" t="s">
        <v>51</v>
      </c>
      <c r="V163" s="21">
        <v>0</v>
      </c>
      <c r="W163" s="21" t="s">
        <v>51</v>
      </c>
      <c r="X163" s="21" t="s">
        <v>51</v>
      </c>
      <c r="Y163" s="21">
        <v>1</v>
      </c>
      <c r="Z163" s="21">
        <v>1</v>
      </c>
      <c r="AA163" s="21">
        <v>1</v>
      </c>
      <c r="AB163" s="21">
        <v>1</v>
      </c>
      <c r="AC163" s="21">
        <v>2</v>
      </c>
      <c r="AD163" s="21">
        <v>2</v>
      </c>
      <c r="AE163" s="21">
        <v>1</v>
      </c>
      <c r="AF163" s="21">
        <v>1</v>
      </c>
      <c r="AG163" s="21">
        <v>1</v>
      </c>
      <c r="AH163" s="21">
        <v>1</v>
      </c>
      <c r="AI163" s="21">
        <v>3</v>
      </c>
      <c r="AJ163" s="21">
        <v>1</v>
      </c>
      <c r="AK163" s="21">
        <v>1</v>
      </c>
      <c r="AL163" s="21">
        <v>1</v>
      </c>
      <c r="AM163" s="21">
        <v>1</v>
      </c>
      <c r="AN163" s="21">
        <v>0</v>
      </c>
      <c r="AO163" s="21" t="s">
        <v>51</v>
      </c>
      <c r="AP163" s="21" t="s">
        <v>51</v>
      </c>
      <c r="AQ163" s="21">
        <v>1</v>
      </c>
      <c r="AR163" s="21">
        <v>1</v>
      </c>
      <c r="AS163" s="21">
        <v>1</v>
      </c>
      <c r="AT163" s="21">
        <v>0</v>
      </c>
      <c r="AU163" s="21" t="s">
        <v>51</v>
      </c>
      <c r="AV163" s="21" t="s">
        <v>51</v>
      </c>
      <c r="AX163" s="21">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64" spans="1:50" s="16" customFormat="1">
      <c r="A164" s="16">
        <v>163</v>
      </c>
      <c r="B164" s="16" t="s">
        <v>256</v>
      </c>
      <c r="C164" s="17">
        <v>39089385</v>
      </c>
      <c r="D164" s="16" t="s">
        <v>147</v>
      </c>
      <c r="E164" s="16">
        <v>1</v>
      </c>
      <c r="F164" s="16">
        <v>0</v>
      </c>
      <c r="G164" s="16">
        <v>1</v>
      </c>
      <c r="H164" s="16">
        <v>1</v>
      </c>
      <c r="I164" s="16">
        <v>1</v>
      </c>
      <c r="J164" s="16">
        <v>1</v>
      </c>
      <c r="K164" s="16">
        <v>1</v>
      </c>
      <c r="L164" s="16">
        <v>1</v>
      </c>
      <c r="M164" s="16">
        <v>1</v>
      </c>
      <c r="N164" s="16">
        <v>1</v>
      </c>
      <c r="O164" s="16">
        <v>1</v>
      </c>
      <c r="P164" s="16">
        <v>0</v>
      </c>
      <c r="Q164" s="16" t="s">
        <v>51</v>
      </c>
      <c r="R164" s="16" t="s">
        <v>51</v>
      </c>
      <c r="S164" s="16">
        <v>0</v>
      </c>
      <c r="T164" s="16" t="s">
        <v>51</v>
      </c>
      <c r="U164" s="16" t="s">
        <v>51</v>
      </c>
      <c r="V164" s="16">
        <v>0</v>
      </c>
      <c r="W164" s="16" t="s">
        <v>51</v>
      </c>
      <c r="X164" s="16" t="s">
        <v>51</v>
      </c>
      <c r="Y164" s="16">
        <v>1</v>
      </c>
      <c r="Z164" s="16">
        <v>1</v>
      </c>
      <c r="AA164" s="16">
        <v>1</v>
      </c>
      <c r="AB164" s="16">
        <v>1</v>
      </c>
      <c r="AC164" s="16">
        <v>1</v>
      </c>
      <c r="AD164" s="16">
        <v>1</v>
      </c>
      <c r="AE164" s="16">
        <v>1</v>
      </c>
      <c r="AF164" s="16">
        <v>1</v>
      </c>
      <c r="AG164" s="16">
        <v>1</v>
      </c>
      <c r="AH164" s="16">
        <v>1</v>
      </c>
      <c r="AI164" s="16">
        <v>1</v>
      </c>
      <c r="AJ164" s="16">
        <v>3</v>
      </c>
      <c r="AK164" s="16">
        <v>1</v>
      </c>
      <c r="AL164" s="16">
        <v>1</v>
      </c>
      <c r="AM164" s="16">
        <v>1</v>
      </c>
      <c r="AN164" s="16">
        <v>1</v>
      </c>
      <c r="AO164" s="16">
        <v>2</v>
      </c>
      <c r="AP164" s="16">
        <v>1</v>
      </c>
      <c r="AQ164" s="16">
        <v>1</v>
      </c>
      <c r="AR164" s="16">
        <v>1</v>
      </c>
      <c r="AS164" s="16">
        <v>1</v>
      </c>
      <c r="AT164" s="16">
        <v>1</v>
      </c>
      <c r="AU164" s="16">
        <v>1</v>
      </c>
      <c r="AV164" s="16">
        <v>1</v>
      </c>
      <c r="AX164" s="1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1</v>
      </c>
    </row>
    <row r="165" spans="1:50" s="21" customFormat="1" hidden="1">
      <c r="A165" s="21">
        <v>164</v>
      </c>
      <c r="B165" s="21" t="s">
        <v>256</v>
      </c>
      <c r="C165" s="22">
        <v>39086335</v>
      </c>
      <c r="D165" s="21" t="s">
        <v>257</v>
      </c>
      <c r="E165" s="21">
        <v>1</v>
      </c>
      <c r="F165" s="21">
        <v>0</v>
      </c>
      <c r="G165" s="21">
        <v>1</v>
      </c>
      <c r="H165" s="21">
        <v>3</v>
      </c>
      <c r="I165" s="21">
        <v>1</v>
      </c>
      <c r="J165" s="21">
        <v>1</v>
      </c>
      <c r="K165" s="21">
        <v>1</v>
      </c>
      <c r="L165" s="21">
        <v>1</v>
      </c>
      <c r="M165" s="21">
        <v>1</v>
      </c>
      <c r="N165" s="21">
        <v>1</v>
      </c>
      <c r="O165" s="21">
        <v>1</v>
      </c>
      <c r="P165" s="21">
        <v>1</v>
      </c>
      <c r="Q165" s="21">
        <v>2</v>
      </c>
      <c r="R165" s="21">
        <v>1</v>
      </c>
      <c r="S165" s="21">
        <v>0</v>
      </c>
      <c r="T165" s="21" t="s">
        <v>51</v>
      </c>
      <c r="U165" s="21" t="s">
        <v>51</v>
      </c>
      <c r="V165" s="21">
        <v>0</v>
      </c>
      <c r="W165" s="21" t="s">
        <v>51</v>
      </c>
      <c r="X165" s="21" t="s">
        <v>51</v>
      </c>
      <c r="Y165" s="21">
        <v>1</v>
      </c>
      <c r="Z165" s="21">
        <v>1</v>
      </c>
      <c r="AA165" s="21">
        <v>1</v>
      </c>
      <c r="AB165" s="21">
        <v>1</v>
      </c>
      <c r="AC165" s="21">
        <v>2</v>
      </c>
      <c r="AD165" s="21">
        <v>1</v>
      </c>
      <c r="AE165" s="21">
        <v>0</v>
      </c>
      <c r="AF165" s="21" t="s">
        <v>51</v>
      </c>
      <c r="AG165" s="21" t="s">
        <v>51</v>
      </c>
      <c r="AH165" s="21">
        <v>1</v>
      </c>
      <c r="AI165" s="21">
        <v>1</v>
      </c>
      <c r="AJ165" s="21">
        <v>1</v>
      </c>
      <c r="AK165" s="21">
        <v>1</v>
      </c>
      <c r="AL165" s="21">
        <v>1</v>
      </c>
      <c r="AM165" s="21">
        <v>1</v>
      </c>
      <c r="AN165" s="21">
        <v>0</v>
      </c>
      <c r="AO165" s="21" t="s">
        <v>51</v>
      </c>
      <c r="AP165" s="21" t="s">
        <v>51</v>
      </c>
      <c r="AQ165" s="21">
        <v>1</v>
      </c>
      <c r="AR165" s="21">
        <v>1</v>
      </c>
      <c r="AS165" s="21">
        <v>1</v>
      </c>
      <c r="AT165" s="21">
        <v>1</v>
      </c>
      <c r="AU165" s="21">
        <v>1</v>
      </c>
      <c r="AV165" s="21">
        <v>1</v>
      </c>
      <c r="AW165" s="23" t="s">
        <v>258</v>
      </c>
      <c r="AX165" s="23">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66" spans="1:50" hidden="1">
      <c r="A166">
        <v>165</v>
      </c>
      <c r="B166" t="s">
        <v>256</v>
      </c>
      <c r="C166" s="10">
        <v>35598332</v>
      </c>
      <c r="D166" t="s">
        <v>259</v>
      </c>
      <c r="E166">
        <v>2</v>
      </c>
      <c r="F166">
        <v>0</v>
      </c>
      <c r="G166">
        <v>1</v>
      </c>
      <c r="H166">
        <v>1</v>
      </c>
      <c r="I166">
        <v>1</v>
      </c>
      <c r="J166">
        <v>1</v>
      </c>
      <c r="K166">
        <v>1</v>
      </c>
      <c r="L166">
        <v>1</v>
      </c>
      <c r="M166">
        <v>1</v>
      </c>
      <c r="N166">
        <v>1</v>
      </c>
      <c r="O166">
        <v>1</v>
      </c>
      <c r="P166">
        <v>1</v>
      </c>
      <c r="Q166">
        <v>1</v>
      </c>
      <c r="R166">
        <v>1</v>
      </c>
      <c r="S166">
        <v>0</v>
      </c>
      <c r="T166" t="s">
        <v>51</v>
      </c>
      <c r="U166" t="s">
        <v>51</v>
      </c>
      <c r="V166">
        <v>0</v>
      </c>
      <c r="W166" t="s">
        <v>51</v>
      </c>
      <c r="X166" t="s">
        <v>51</v>
      </c>
      <c r="Y166">
        <v>0</v>
      </c>
      <c r="Z166" t="s">
        <v>51</v>
      </c>
      <c r="AA166" t="s">
        <v>51</v>
      </c>
      <c r="AB166">
        <v>1</v>
      </c>
      <c r="AC166">
        <v>2</v>
      </c>
      <c r="AD166">
        <v>1</v>
      </c>
      <c r="AE166">
        <v>0</v>
      </c>
      <c r="AF166" t="s">
        <v>51</v>
      </c>
      <c r="AG166" t="s">
        <v>51</v>
      </c>
      <c r="AH166">
        <v>1</v>
      </c>
      <c r="AI166">
        <v>1</v>
      </c>
      <c r="AJ166">
        <v>1</v>
      </c>
      <c r="AK166">
        <v>1</v>
      </c>
      <c r="AL166">
        <v>1</v>
      </c>
      <c r="AM166">
        <v>1</v>
      </c>
      <c r="AN166">
        <v>0</v>
      </c>
      <c r="AO166" t="s">
        <v>51</v>
      </c>
      <c r="AP166" t="s">
        <v>51</v>
      </c>
      <c r="AQ166">
        <v>1</v>
      </c>
      <c r="AR166">
        <v>1</v>
      </c>
      <c r="AS166">
        <v>1</v>
      </c>
      <c r="AT166">
        <v>0</v>
      </c>
      <c r="AU166" t="s">
        <v>51</v>
      </c>
      <c r="AV166" t="s">
        <v>51</v>
      </c>
      <c r="AX16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67" spans="1:50" hidden="1">
      <c r="A167">
        <v>166</v>
      </c>
      <c r="B167" t="s">
        <v>256</v>
      </c>
      <c r="C167" s="10">
        <v>39097758</v>
      </c>
      <c r="D167" t="s">
        <v>260</v>
      </c>
      <c r="E167">
        <v>1</v>
      </c>
      <c r="F167">
        <v>0</v>
      </c>
      <c r="G167">
        <v>1</v>
      </c>
      <c r="H167">
        <v>1</v>
      </c>
      <c r="I167">
        <v>1</v>
      </c>
      <c r="J167">
        <v>1</v>
      </c>
      <c r="K167">
        <v>1</v>
      </c>
      <c r="L167">
        <v>1</v>
      </c>
      <c r="M167">
        <v>1</v>
      </c>
      <c r="N167">
        <v>1</v>
      </c>
      <c r="O167">
        <v>1</v>
      </c>
      <c r="P167">
        <v>1</v>
      </c>
      <c r="Q167">
        <v>1</v>
      </c>
      <c r="R167">
        <v>1</v>
      </c>
      <c r="S167">
        <v>0</v>
      </c>
      <c r="T167" t="s">
        <v>51</v>
      </c>
      <c r="U167" t="s">
        <v>51</v>
      </c>
      <c r="V167">
        <v>0</v>
      </c>
      <c r="W167" t="s">
        <v>51</v>
      </c>
      <c r="X167" t="s">
        <v>51</v>
      </c>
      <c r="Y167">
        <v>1</v>
      </c>
      <c r="Z167">
        <v>1</v>
      </c>
      <c r="AA167">
        <v>1</v>
      </c>
      <c r="AB167">
        <v>1</v>
      </c>
      <c r="AC167">
        <v>1</v>
      </c>
      <c r="AD167">
        <v>1</v>
      </c>
      <c r="AE167">
        <v>1</v>
      </c>
      <c r="AF167">
        <v>1</v>
      </c>
      <c r="AG167">
        <v>1</v>
      </c>
      <c r="AH167">
        <v>1</v>
      </c>
      <c r="AI167">
        <v>1</v>
      </c>
      <c r="AJ167">
        <v>1</v>
      </c>
      <c r="AK167">
        <v>1</v>
      </c>
      <c r="AL167">
        <v>1</v>
      </c>
      <c r="AM167">
        <v>1</v>
      </c>
      <c r="AN167">
        <v>1</v>
      </c>
      <c r="AO167">
        <v>1</v>
      </c>
      <c r="AP167">
        <v>1</v>
      </c>
      <c r="AQ167">
        <v>1</v>
      </c>
      <c r="AR167">
        <v>1</v>
      </c>
      <c r="AS167">
        <v>1</v>
      </c>
      <c r="AT167">
        <v>1</v>
      </c>
      <c r="AU167">
        <v>1</v>
      </c>
      <c r="AV167">
        <v>1</v>
      </c>
      <c r="AW167" s="8" t="s">
        <v>261</v>
      </c>
      <c r="AX167" s="8">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68" spans="1:50" hidden="1">
      <c r="A168">
        <v>167</v>
      </c>
      <c r="B168" t="s">
        <v>256</v>
      </c>
      <c r="C168" s="10">
        <v>39100581</v>
      </c>
      <c r="D168" t="s">
        <v>262</v>
      </c>
      <c r="E168">
        <v>1</v>
      </c>
      <c r="F168">
        <v>0</v>
      </c>
      <c r="G168">
        <v>1</v>
      </c>
      <c r="H168">
        <v>1</v>
      </c>
      <c r="I168">
        <v>1</v>
      </c>
      <c r="J168">
        <v>1</v>
      </c>
      <c r="K168">
        <v>1</v>
      </c>
      <c r="L168">
        <v>1</v>
      </c>
      <c r="M168">
        <v>1</v>
      </c>
      <c r="N168">
        <v>1</v>
      </c>
      <c r="O168">
        <v>1</v>
      </c>
      <c r="P168">
        <v>1</v>
      </c>
      <c r="Q168">
        <v>1</v>
      </c>
      <c r="R168">
        <v>1</v>
      </c>
      <c r="S168">
        <v>1</v>
      </c>
      <c r="T168">
        <v>2</v>
      </c>
      <c r="U168">
        <v>1</v>
      </c>
      <c r="V168">
        <v>1</v>
      </c>
      <c r="W168">
        <v>2</v>
      </c>
      <c r="X168">
        <v>1</v>
      </c>
      <c r="Y168">
        <v>1</v>
      </c>
      <c r="Z168">
        <v>1</v>
      </c>
      <c r="AA168">
        <v>1</v>
      </c>
      <c r="AB168">
        <v>1</v>
      </c>
      <c r="AC168">
        <v>2</v>
      </c>
      <c r="AD168">
        <v>1</v>
      </c>
      <c r="AE168">
        <v>1</v>
      </c>
      <c r="AF168">
        <v>1</v>
      </c>
      <c r="AG168">
        <v>1</v>
      </c>
      <c r="AH168">
        <v>1</v>
      </c>
      <c r="AI168">
        <v>1</v>
      </c>
      <c r="AJ168">
        <v>1</v>
      </c>
      <c r="AK168">
        <v>1</v>
      </c>
      <c r="AL168">
        <v>1</v>
      </c>
      <c r="AM168">
        <v>1</v>
      </c>
      <c r="AN168">
        <v>1</v>
      </c>
      <c r="AO168">
        <v>2</v>
      </c>
      <c r="AP168">
        <v>1</v>
      </c>
      <c r="AQ168">
        <v>1</v>
      </c>
      <c r="AR168">
        <v>1</v>
      </c>
      <c r="AS168">
        <v>1</v>
      </c>
      <c r="AT168">
        <v>1</v>
      </c>
      <c r="AU168">
        <v>1</v>
      </c>
      <c r="AV168">
        <v>1</v>
      </c>
      <c r="AW168" s="8" t="s">
        <v>263</v>
      </c>
      <c r="AX168" s="8">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69" spans="1:50" s="21" customFormat="1" hidden="1">
      <c r="A169" s="21">
        <v>168</v>
      </c>
      <c r="B169" s="21" t="s">
        <v>256</v>
      </c>
      <c r="C169" s="22">
        <v>39091900</v>
      </c>
      <c r="D169" s="21" t="s">
        <v>264</v>
      </c>
      <c r="E169" s="21">
        <v>1</v>
      </c>
      <c r="F169" s="21">
        <v>0</v>
      </c>
      <c r="G169" s="21">
        <v>1</v>
      </c>
      <c r="H169" s="21">
        <v>1</v>
      </c>
      <c r="I169" s="21">
        <v>1</v>
      </c>
      <c r="J169" s="21">
        <v>1</v>
      </c>
      <c r="K169" s="21">
        <v>1</v>
      </c>
      <c r="L169" s="21">
        <v>1</v>
      </c>
      <c r="M169" s="21">
        <v>1</v>
      </c>
      <c r="N169" s="21">
        <v>1</v>
      </c>
      <c r="O169" s="21">
        <v>1</v>
      </c>
      <c r="P169" s="21">
        <v>1</v>
      </c>
      <c r="Q169" s="21">
        <v>1</v>
      </c>
      <c r="R169" s="21">
        <v>2</v>
      </c>
      <c r="S169" s="21">
        <v>1</v>
      </c>
      <c r="T169" s="21">
        <v>1</v>
      </c>
      <c r="U169" s="21">
        <v>1</v>
      </c>
      <c r="V169" s="21">
        <v>1</v>
      </c>
      <c r="W169" s="21">
        <v>3</v>
      </c>
      <c r="X169" s="21">
        <v>1</v>
      </c>
      <c r="Y169" s="21">
        <v>1</v>
      </c>
      <c r="Z169" s="21">
        <v>1</v>
      </c>
      <c r="AA169" s="21">
        <v>1</v>
      </c>
      <c r="AB169" s="21">
        <v>1</v>
      </c>
      <c r="AC169" s="21">
        <v>2</v>
      </c>
      <c r="AD169" s="21">
        <v>2</v>
      </c>
      <c r="AE169" s="21">
        <v>1</v>
      </c>
      <c r="AF169" s="21">
        <v>1</v>
      </c>
      <c r="AG169" s="21">
        <v>1</v>
      </c>
      <c r="AH169" s="21">
        <v>1</v>
      </c>
      <c r="AI169" s="21">
        <v>1</v>
      </c>
      <c r="AJ169" s="21">
        <v>1</v>
      </c>
      <c r="AK169" s="21">
        <v>1</v>
      </c>
      <c r="AL169" s="21">
        <v>1</v>
      </c>
      <c r="AM169" s="21">
        <v>1</v>
      </c>
      <c r="AN169" s="21">
        <v>1</v>
      </c>
      <c r="AO169" s="21">
        <v>2</v>
      </c>
      <c r="AP169" s="21">
        <v>1</v>
      </c>
      <c r="AQ169" s="21">
        <v>1</v>
      </c>
      <c r="AR169" s="21">
        <v>1</v>
      </c>
      <c r="AS169" s="21">
        <v>1</v>
      </c>
      <c r="AT169" s="21">
        <v>1</v>
      </c>
      <c r="AU169" s="21">
        <v>1</v>
      </c>
      <c r="AV169" s="21">
        <v>2</v>
      </c>
      <c r="AW169" s="24" t="s">
        <v>265</v>
      </c>
      <c r="AX169" s="24">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70" spans="1:50" hidden="1">
      <c r="A170">
        <v>169</v>
      </c>
      <c r="B170" t="s">
        <v>256</v>
      </c>
      <c r="C170" s="10">
        <v>39097496</v>
      </c>
      <c r="D170" t="s">
        <v>143</v>
      </c>
      <c r="E170">
        <v>1</v>
      </c>
      <c r="F170">
        <v>0</v>
      </c>
      <c r="G170">
        <v>1</v>
      </c>
      <c r="H170">
        <v>1</v>
      </c>
      <c r="I170">
        <v>1</v>
      </c>
      <c r="J170">
        <v>1</v>
      </c>
      <c r="K170">
        <v>1</v>
      </c>
      <c r="L170">
        <v>1</v>
      </c>
      <c r="M170">
        <v>1</v>
      </c>
      <c r="N170">
        <v>1</v>
      </c>
      <c r="O170">
        <v>1</v>
      </c>
      <c r="P170">
        <v>1</v>
      </c>
      <c r="Q170">
        <v>1</v>
      </c>
      <c r="R170">
        <v>1</v>
      </c>
      <c r="S170">
        <v>0</v>
      </c>
      <c r="T170" t="s">
        <v>51</v>
      </c>
      <c r="U170" t="s">
        <v>51</v>
      </c>
      <c r="V170">
        <v>0</v>
      </c>
      <c r="W170" t="s">
        <v>51</v>
      </c>
      <c r="X170" t="s">
        <v>51</v>
      </c>
      <c r="Y170">
        <v>1</v>
      </c>
      <c r="Z170">
        <v>1</v>
      </c>
      <c r="AA170">
        <v>1</v>
      </c>
      <c r="AB170">
        <v>1</v>
      </c>
      <c r="AC170">
        <v>2</v>
      </c>
      <c r="AD170">
        <v>1</v>
      </c>
      <c r="AE170">
        <v>1</v>
      </c>
      <c r="AF170">
        <v>1</v>
      </c>
      <c r="AG170">
        <v>1</v>
      </c>
      <c r="AH170">
        <v>1</v>
      </c>
      <c r="AI170">
        <v>1</v>
      </c>
      <c r="AJ170">
        <v>1</v>
      </c>
      <c r="AK170">
        <v>1</v>
      </c>
      <c r="AL170">
        <v>1</v>
      </c>
      <c r="AM170">
        <v>1</v>
      </c>
      <c r="AN170">
        <v>1</v>
      </c>
      <c r="AO170">
        <v>2</v>
      </c>
      <c r="AP170">
        <v>1</v>
      </c>
      <c r="AQ170">
        <v>1</v>
      </c>
      <c r="AR170">
        <v>1</v>
      </c>
      <c r="AS170">
        <v>1</v>
      </c>
      <c r="AT170">
        <v>1</v>
      </c>
      <c r="AU170">
        <v>1</v>
      </c>
      <c r="AV170">
        <v>1</v>
      </c>
      <c r="AW170" s="8" t="s">
        <v>266</v>
      </c>
      <c r="AX170" s="8">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71" spans="1:50" hidden="1">
      <c r="A171">
        <v>170</v>
      </c>
      <c r="B171" t="s">
        <v>256</v>
      </c>
      <c r="C171" s="10">
        <v>39096355</v>
      </c>
      <c r="D171" t="s">
        <v>211</v>
      </c>
      <c r="E171">
        <v>1</v>
      </c>
      <c r="F171">
        <v>0</v>
      </c>
      <c r="G171">
        <v>1</v>
      </c>
      <c r="H171">
        <v>1</v>
      </c>
      <c r="I171">
        <v>1</v>
      </c>
      <c r="J171">
        <v>1</v>
      </c>
      <c r="K171">
        <v>1</v>
      </c>
      <c r="L171">
        <v>1</v>
      </c>
      <c r="M171">
        <v>1</v>
      </c>
      <c r="N171">
        <v>1</v>
      </c>
      <c r="O171">
        <v>1</v>
      </c>
      <c r="P171">
        <v>1</v>
      </c>
      <c r="Q171">
        <v>1</v>
      </c>
      <c r="R171">
        <v>1</v>
      </c>
      <c r="S171">
        <v>0</v>
      </c>
      <c r="T171" t="s">
        <v>51</v>
      </c>
      <c r="U171" t="s">
        <v>51</v>
      </c>
      <c r="V171">
        <v>0</v>
      </c>
      <c r="W171" t="s">
        <v>51</v>
      </c>
      <c r="X171" t="s">
        <v>51</v>
      </c>
      <c r="Y171">
        <v>0</v>
      </c>
      <c r="Z171" t="s">
        <v>51</v>
      </c>
      <c r="AA171" t="s">
        <v>51</v>
      </c>
      <c r="AB171">
        <v>0</v>
      </c>
      <c r="AC171" t="s">
        <v>51</v>
      </c>
      <c r="AD171" t="s">
        <v>51</v>
      </c>
      <c r="AE171">
        <v>1</v>
      </c>
      <c r="AF171">
        <v>1</v>
      </c>
      <c r="AG171">
        <v>1</v>
      </c>
      <c r="AH171">
        <v>1</v>
      </c>
      <c r="AI171">
        <v>1</v>
      </c>
      <c r="AJ171">
        <v>1</v>
      </c>
      <c r="AK171">
        <v>1</v>
      </c>
      <c r="AL171">
        <v>1</v>
      </c>
      <c r="AM171">
        <v>1</v>
      </c>
      <c r="AN171">
        <v>1</v>
      </c>
      <c r="AO171">
        <v>2</v>
      </c>
      <c r="AP171">
        <v>1</v>
      </c>
      <c r="AQ171">
        <v>1</v>
      </c>
      <c r="AR171">
        <v>1</v>
      </c>
      <c r="AS171">
        <v>1</v>
      </c>
      <c r="AT171">
        <v>1</v>
      </c>
      <c r="AU171">
        <v>2</v>
      </c>
      <c r="AV171">
        <v>1</v>
      </c>
      <c r="AW171" s="11"/>
      <c r="AX171" s="11">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72" spans="1:50" hidden="1">
      <c r="A172">
        <v>171</v>
      </c>
      <c r="B172" t="s">
        <v>267</v>
      </c>
      <c r="C172" s="10">
        <v>39109925</v>
      </c>
      <c r="D172" t="s">
        <v>75</v>
      </c>
      <c r="E172">
        <v>1</v>
      </c>
      <c r="F172">
        <v>0</v>
      </c>
      <c r="G172">
        <v>1</v>
      </c>
      <c r="H172">
        <v>1</v>
      </c>
      <c r="I172">
        <v>1</v>
      </c>
      <c r="J172">
        <v>1</v>
      </c>
      <c r="K172">
        <v>1</v>
      </c>
      <c r="L172">
        <v>1</v>
      </c>
      <c r="M172">
        <v>1</v>
      </c>
      <c r="N172">
        <v>1</v>
      </c>
      <c r="O172">
        <v>1</v>
      </c>
      <c r="P172">
        <v>1</v>
      </c>
      <c r="Q172">
        <v>1</v>
      </c>
      <c r="R172">
        <v>1</v>
      </c>
      <c r="S172">
        <v>0</v>
      </c>
      <c r="T172" t="s">
        <v>51</v>
      </c>
      <c r="U172" t="s">
        <v>51</v>
      </c>
      <c r="V172">
        <v>0</v>
      </c>
      <c r="W172" t="s">
        <v>51</v>
      </c>
      <c r="X172" t="s">
        <v>51</v>
      </c>
      <c r="Y172">
        <v>1</v>
      </c>
      <c r="Z172">
        <v>1</v>
      </c>
      <c r="AA172">
        <v>1</v>
      </c>
      <c r="AB172">
        <v>1</v>
      </c>
      <c r="AC172">
        <v>1</v>
      </c>
      <c r="AD172">
        <v>1</v>
      </c>
      <c r="AE172">
        <v>1</v>
      </c>
      <c r="AF172">
        <v>1</v>
      </c>
      <c r="AG172">
        <v>1</v>
      </c>
      <c r="AH172">
        <v>1</v>
      </c>
      <c r="AI172">
        <v>1</v>
      </c>
      <c r="AJ172">
        <v>1</v>
      </c>
      <c r="AK172">
        <v>1</v>
      </c>
      <c r="AL172">
        <v>1</v>
      </c>
      <c r="AM172">
        <v>1</v>
      </c>
      <c r="AN172">
        <v>0</v>
      </c>
      <c r="AO172" t="s">
        <v>51</v>
      </c>
      <c r="AP172" t="s">
        <v>51</v>
      </c>
      <c r="AQ172">
        <v>1</v>
      </c>
      <c r="AR172">
        <v>1</v>
      </c>
      <c r="AS172">
        <v>1</v>
      </c>
      <c r="AT172">
        <v>1</v>
      </c>
      <c r="AU172">
        <v>1</v>
      </c>
      <c r="AV172">
        <v>2</v>
      </c>
      <c r="AX172">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73" spans="1:50" hidden="1">
      <c r="A173">
        <v>172</v>
      </c>
      <c r="B173" t="s">
        <v>267</v>
      </c>
      <c r="C173" s="10">
        <v>39107145</v>
      </c>
      <c r="D173" s="8" t="s">
        <v>268</v>
      </c>
      <c r="E173">
        <v>1</v>
      </c>
      <c r="F173">
        <v>0</v>
      </c>
      <c r="G173">
        <v>1</v>
      </c>
      <c r="H173">
        <v>1</v>
      </c>
      <c r="I173">
        <v>1</v>
      </c>
      <c r="J173">
        <v>1</v>
      </c>
      <c r="K173">
        <v>1</v>
      </c>
      <c r="L173">
        <v>1</v>
      </c>
      <c r="M173">
        <v>1</v>
      </c>
      <c r="N173">
        <v>1</v>
      </c>
      <c r="O173">
        <v>1</v>
      </c>
      <c r="P173">
        <v>1</v>
      </c>
      <c r="Q173">
        <v>1</v>
      </c>
      <c r="R173">
        <v>1</v>
      </c>
      <c r="S173">
        <v>0</v>
      </c>
      <c r="T173" t="s">
        <v>51</v>
      </c>
      <c r="U173" t="s">
        <v>51</v>
      </c>
      <c r="V173">
        <v>0</v>
      </c>
      <c r="W173" t="s">
        <v>51</v>
      </c>
      <c r="X173" t="s">
        <v>51</v>
      </c>
      <c r="Y173">
        <v>1</v>
      </c>
      <c r="Z173">
        <v>1</v>
      </c>
      <c r="AA173">
        <v>1</v>
      </c>
      <c r="AB173">
        <v>1</v>
      </c>
      <c r="AC173">
        <v>1</v>
      </c>
      <c r="AD173">
        <v>1</v>
      </c>
      <c r="AE173">
        <v>1</v>
      </c>
      <c r="AF173">
        <v>1</v>
      </c>
      <c r="AG173">
        <v>1</v>
      </c>
      <c r="AH173">
        <v>1</v>
      </c>
      <c r="AI173">
        <v>1</v>
      </c>
      <c r="AJ173">
        <v>1</v>
      </c>
      <c r="AK173">
        <v>1</v>
      </c>
      <c r="AL173">
        <v>1</v>
      </c>
      <c r="AM173">
        <v>1</v>
      </c>
      <c r="AN173">
        <v>1</v>
      </c>
      <c r="AO173">
        <v>2</v>
      </c>
      <c r="AP173">
        <v>1</v>
      </c>
      <c r="AQ173">
        <v>1</v>
      </c>
      <c r="AR173">
        <v>1</v>
      </c>
      <c r="AS173">
        <v>1</v>
      </c>
      <c r="AT173">
        <v>1</v>
      </c>
      <c r="AU173">
        <v>1</v>
      </c>
      <c r="AV173">
        <v>1</v>
      </c>
      <c r="AX173">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74" spans="1:50" hidden="1">
      <c r="A174">
        <v>173</v>
      </c>
      <c r="B174" t="s">
        <v>267</v>
      </c>
      <c r="C174" s="10">
        <v>39104234</v>
      </c>
      <c r="D174" t="s">
        <v>269</v>
      </c>
      <c r="E174">
        <v>1</v>
      </c>
      <c r="F174">
        <v>0</v>
      </c>
      <c r="G174">
        <v>1</v>
      </c>
      <c r="H174">
        <v>1</v>
      </c>
      <c r="I174">
        <v>1</v>
      </c>
      <c r="J174">
        <v>1</v>
      </c>
      <c r="K174">
        <v>1</v>
      </c>
      <c r="L174">
        <v>1</v>
      </c>
      <c r="M174">
        <v>1</v>
      </c>
      <c r="N174">
        <v>1</v>
      </c>
      <c r="O174">
        <v>1</v>
      </c>
      <c r="P174">
        <v>1</v>
      </c>
      <c r="Q174">
        <v>1</v>
      </c>
      <c r="R174">
        <v>2</v>
      </c>
      <c r="S174">
        <v>0</v>
      </c>
      <c r="T174" t="s">
        <v>51</v>
      </c>
      <c r="U174" t="s">
        <v>51</v>
      </c>
      <c r="V174">
        <v>0</v>
      </c>
      <c r="W174" t="s">
        <v>51</v>
      </c>
      <c r="X174" t="s">
        <v>51</v>
      </c>
      <c r="Y174">
        <v>1</v>
      </c>
      <c r="Z174">
        <v>1</v>
      </c>
      <c r="AA174">
        <v>1</v>
      </c>
      <c r="AB174">
        <v>1</v>
      </c>
      <c r="AC174">
        <v>1</v>
      </c>
      <c r="AD174">
        <v>1</v>
      </c>
      <c r="AE174">
        <v>1</v>
      </c>
      <c r="AF174">
        <v>1</v>
      </c>
      <c r="AG174">
        <v>1</v>
      </c>
      <c r="AH174">
        <v>1</v>
      </c>
      <c r="AI174">
        <v>1</v>
      </c>
      <c r="AJ174">
        <v>1</v>
      </c>
      <c r="AK174">
        <v>1</v>
      </c>
      <c r="AL174">
        <v>1</v>
      </c>
      <c r="AM174">
        <v>1</v>
      </c>
      <c r="AN174">
        <v>1</v>
      </c>
      <c r="AO174">
        <v>2</v>
      </c>
      <c r="AP174">
        <v>1</v>
      </c>
      <c r="AQ174">
        <v>1</v>
      </c>
      <c r="AR174">
        <v>1</v>
      </c>
      <c r="AS174">
        <v>1</v>
      </c>
      <c r="AT174">
        <v>1</v>
      </c>
      <c r="AU174">
        <v>1</v>
      </c>
      <c r="AV174">
        <v>1</v>
      </c>
      <c r="AX174">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75" spans="1:50" hidden="1">
      <c r="A175">
        <v>174</v>
      </c>
      <c r="B175" t="s">
        <v>267</v>
      </c>
      <c r="C175" s="10">
        <v>35151936</v>
      </c>
      <c r="D175" t="s">
        <v>270</v>
      </c>
      <c r="E175">
        <v>1</v>
      </c>
      <c r="F175">
        <v>0</v>
      </c>
      <c r="G175">
        <v>1</v>
      </c>
      <c r="H175">
        <v>1</v>
      </c>
      <c r="I175">
        <v>1</v>
      </c>
      <c r="J175">
        <v>1</v>
      </c>
      <c r="K175">
        <v>1</v>
      </c>
      <c r="L175">
        <v>1</v>
      </c>
      <c r="M175">
        <v>1</v>
      </c>
      <c r="N175">
        <v>1</v>
      </c>
      <c r="O175">
        <v>1</v>
      </c>
      <c r="P175">
        <v>1</v>
      </c>
      <c r="Q175">
        <v>1</v>
      </c>
      <c r="R175">
        <v>1</v>
      </c>
      <c r="S175">
        <v>0</v>
      </c>
      <c r="T175" t="s">
        <v>51</v>
      </c>
      <c r="U175" t="s">
        <v>51</v>
      </c>
      <c r="V175">
        <v>0</v>
      </c>
      <c r="W175" t="s">
        <v>51</v>
      </c>
      <c r="X175" t="s">
        <v>51</v>
      </c>
      <c r="Y175">
        <v>1</v>
      </c>
      <c r="Z175">
        <v>1</v>
      </c>
      <c r="AA175">
        <v>1</v>
      </c>
      <c r="AB175">
        <v>1</v>
      </c>
      <c r="AC175">
        <v>1</v>
      </c>
      <c r="AD175">
        <v>1</v>
      </c>
      <c r="AE175">
        <v>0</v>
      </c>
      <c r="AF175" t="s">
        <v>51</v>
      </c>
      <c r="AG175" t="s">
        <v>51</v>
      </c>
      <c r="AH175">
        <v>1</v>
      </c>
      <c r="AI175">
        <v>1</v>
      </c>
      <c r="AJ175">
        <v>1</v>
      </c>
      <c r="AK175">
        <v>1</v>
      </c>
      <c r="AL175">
        <v>1</v>
      </c>
      <c r="AM175">
        <v>1</v>
      </c>
      <c r="AN175">
        <v>1</v>
      </c>
      <c r="AO175">
        <v>2</v>
      </c>
      <c r="AP175">
        <v>1</v>
      </c>
      <c r="AQ175">
        <v>1</v>
      </c>
      <c r="AR175">
        <v>1</v>
      </c>
      <c r="AS175">
        <v>1</v>
      </c>
      <c r="AT175">
        <v>0</v>
      </c>
      <c r="AU175" t="s">
        <v>51</v>
      </c>
      <c r="AV175" t="s">
        <v>51</v>
      </c>
      <c r="AW175" s="11"/>
      <c r="AX175" s="11">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76" spans="1:50" s="16" customFormat="1">
      <c r="A176" s="16">
        <v>175</v>
      </c>
      <c r="B176" s="16" t="s">
        <v>267</v>
      </c>
      <c r="C176" s="17">
        <v>39102467</v>
      </c>
      <c r="D176" s="16" t="s">
        <v>175</v>
      </c>
      <c r="E176" s="16">
        <v>1</v>
      </c>
      <c r="F176" s="16">
        <v>0</v>
      </c>
      <c r="G176" s="16">
        <v>1</v>
      </c>
      <c r="H176" s="16">
        <v>1</v>
      </c>
      <c r="I176" s="16">
        <v>1</v>
      </c>
      <c r="J176" s="16">
        <v>1</v>
      </c>
      <c r="K176" s="16">
        <v>1</v>
      </c>
      <c r="L176" s="16">
        <v>1</v>
      </c>
      <c r="M176" s="16">
        <v>1</v>
      </c>
      <c r="N176" s="16">
        <v>1</v>
      </c>
      <c r="O176" s="16">
        <v>1</v>
      </c>
      <c r="P176" s="16">
        <v>0</v>
      </c>
      <c r="Q176" s="16" t="s">
        <v>51</v>
      </c>
      <c r="R176" s="16" t="s">
        <v>51</v>
      </c>
      <c r="S176" s="16">
        <v>0</v>
      </c>
      <c r="T176" s="16" t="s">
        <v>51</v>
      </c>
      <c r="U176" s="16" t="s">
        <v>51</v>
      </c>
      <c r="V176" s="16">
        <v>0</v>
      </c>
      <c r="W176" s="16" t="s">
        <v>51</v>
      </c>
      <c r="X176" s="16" t="s">
        <v>51</v>
      </c>
      <c r="Y176" s="16">
        <v>1</v>
      </c>
      <c r="Z176" s="16">
        <v>1</v>
      </c>
      <c r="AA176" s="16">
        <v>1</v>
      </c>
      <c r="AB176" s="16">
        <v>1</v>
      </c>
      <c r="AC176" s="16">
        <v>1</v>
      </c>
      <c r="AD176" s="16">
        <v>1</v>
      </c>
      <c r="AE176" s="16">
        <v>0</v>
      </c>
      <c r="AF176" s="16" t="s">
        <v>51</v>
      </c>
      <c r="AG176" s="16" t="s">
        <v>51</v>
      </c>
      <c r="AH176" s="16">
        <v>1</v>
      </c>
      <c r="AI176" s="16">
        <v>1</v>
      </c>
      <c r="AJ176" s="16">
        <v>1</v>
      </c>
      <c r="AK176" s="16">
        <v>1</v>
      </c>
      <c r="AL176" s="16">
        <v>1</v>
      </c>
      <c r="AM176" s="16">
        <v>3</v>
      </c>
      <c r="AN176" s="16">
        <v>1</v>
      </c>
      <c r="AO176" s="16">
        <v>2</v>
      </c>
      <c r="AP176" s="16">
        <v>1</v>
      </c>
      <c r="AQ176" s="16">
        <v>1</v>
      </c>
      <c r="AR176" s="16">
        <v>1</v>
      </c>
      <c r="AS176" s="16">
        <v>1</v>
      </c>
      <c r="AT176" s="16">
        <v>1</v>
      </c>
      <c r="AU176" s="16">
        <v>1</v>
      </c>
      <c r="AV176" s="16">
        <v>1</v>
      </c>
      <c r="AW176" s="19" t="s">
        <v>271</v>
      </c>
      <c r="AX176" s="19">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1</v>
      </c>
    </row>
    <row r="177" spans="1:50" hidden="1">
      <c r="A177">
        <v>176</v>
      </c>
      <c r="B177" t="s">
        <v>267</v>
      </c>
      <c r="C177" s="10">
        <v>35426656</v>
      </c>
      <c r="D177" t="s">
        <v>272</v>
      </c>
      <c r="E177">
        <v>1</v>
      </c>
      <c r="F177">
        <v>0</v>
      </c>
      <c r="G177">
        <v>0</v>
      </c>
      <c r="H177" t="s">
        <v>51</v>
      </c>
      <c r="I177" t="s">
        <v>51</v>
      </c>
      <c r="J177">
        <v>1</v>
      </c>
      <c r="K177">
        <v>1</v>
      </c>
      <c r="L177">
        <v>1</v>
      </c>
      <c r="M177">
        <v>1</v>
      </c>
      <c r="N177">
        <v>1</v>
      </c>
      <c r="O177">
        <v>1</v>
      </c>
      <c r="P177">
        <v>1</v>
      </c>
      <c r="Q177">
        <v>1</v>
      </c>
      <c r="R177">
        <v>1</v>
      </c>
      <c r="S177">
        <v>0</v>
      </c>
      <c r="T177" t="s">
        <v>51</v>
      </c>
      <c r="U177" t="s">
        <v>51</v>
      </c>
      <c r="V177">
        <v>0</v>
      </c>
      <c r="W177" t="s">
        <v>51</v>
      </c>
      <c r="X177" t="s">
        <v>51</v>
      </c>
      <c r="Y177">
        <v>1</v>
      </c>
      <c r="Z177">
        <v>1</v>
      </c>
      <c r="AA177">
        <v>2</v>
      </c>
      <c r="AB177">
        <v>1</v>
      </c>
      <c r="AC177">
        <v>1</v>
      </c>
      <c r="AD177">
        <v>1</v>
      </c>
      <c r="AE177">
        <v>0</v>
      </c>
      <c r="AF177" t="s">
        <v>51</v>
      </c>
      <c r="AG177" t="s">
        <v>51</v>
      </c>
      <c r="AH177">
        <v>1</v>
      </c>
      <c r="AI177">
        <v>1</v>
      </c>
      <c r="AJ177">
        <v>1</v>
      </c>
      <c r="AK177">
        <v>1</v>
      </c>
      <c r="AL177">
        <v>1</v>
      </c>
      <c r="AM177">
        <v>1</v>
      </c>
      <c r="AN177">
        <v>1</v>
      </c>
      <c r="AO177">
        <v>2</v>
      </c>
      <c r="AP177">
        <v>1</v>
      </c>
      <c r="AQ177">
        <v>1</v>
      </c>
      <c r="AR177">
        <v>1</v>
      </c>
      <c r="AS177">
        <v>1</v>
      </c>
      <c r="AT177">
        <v>0</v>
      </c>
      <c r="AU177" t="s">
        <v>51</v>
      </c>
      <c r="AV177" t="s">
        <v>51</v>
      </c>
      <c r="AW177" s="11"/>
      <c r="AX177" s="11">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78" spans="1:50" hidden="1">
      <c r="A178">
        <v>177</v>
      </c>
      <c r="B178" t="s">
        <v>267</v>
      </c>
      <c r="C178" s="10">
        <v>39098184</v>
      </c>
      <c r="D178" t="s">
        <v>273</v>
      </c>
      <c r="E178">
        <v>2</v>
      </c>
      <c r="F178">
        <v>0</v>
      </c>
      <c r="G178">
        <v>1</v>
      </c>
      <c r="H178">
        <v>1</v>
      </c>
      <c r="I178">
        <v>1</v>
      </c>
      <c r="J178">
        <v>1</v>
      </c>
      <c r="K178">
        <v>1</v>
      </c>
      <c r="L178">
        <v>1</v>
      </c>
      <c r="M178">
        <v>1</v>
      </c>
      <c r="N178">
        <v>1</v>
      </c>
      <c r="O178">
        <v>1</v>
      </c>
      <c r="P178">
        <v>1</v>
      </c>
      <c r="Q178">
        <v>1</v>
      </c>
      <c r="R178">
        <v>1</v>
      </c>
      <c r="S178">
        <v>0</v>
      </c>
      <c r="T178" t="s">
        <v>51</v>
      </c>
      <c r="U178" t="s">
        <v>51</v>
      </c>
      <c r="V178">
        <v>0</v>
      </c>
      <c r="W178" t="s">
        <v>51</v>
      </c>
      <c r="X178" t="s">
        <v>51</v>
      </c>
      <c r="Y178">
        <v>1</v>
      </c>
      <c r="Z178">
        <v>1</v>
      </c>
      <c r="AA178">
        <v>1</v>
      </c>
      <c r="AB178">
        <v>1</v>
      </c>
      <c r="AC178">
        <v>1</v>
      </c>
      <c r="AD178">
        <v>1</v>
      </c>
      <c r="AE178">
        <v>1</v>
      </c>
      <c r="AF178">
        <v>1</v>
      </c>
      <c r="AG178">
        <v>1</v>
      </c>
      <c r="AH178">
        <v>1</v>
      </c>
      <c r="AI178">
        <v>1</v>
      </c>
      <c r="AJ178">
        <v>1</v>
      </c>
      <c r="AK178">
        <v>1</v>
      </c>
      <c r="AL178">
        <v>1</v>
      </c>
      <c r="AM178">
        <v>1</v>
      </c>
      <c r="AN178">
        <v>0</v>
      </c>
      <c r="AO178" t="s">
        <v>51</v>
      </c>
      <c r="AP178" t="s">
        <v>51</v>
      </c>
      <c r="AQ178">
        <v>1</v>
      </c>
      <c r="AR178">
        <v>1</v>
      </c>
      <c r="AS178">
        <v>1</v>
      </c>
      <c r="AT178">
        <v>1</v>
      </c>
      <c r="AU178">
        <v>1</v>
      </c>
      <c r="AV178">
        <v>1</v>
      </c>
      <c r="AX178">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79" spans="1:50" hidden="1">
      <c r="A179">
        <v>178</v>
      </c>
      <c r="B179" t="s">
        <v>267</v>
      </c>
      <c r="C179" s="10">
        <v>39098427</v>
      </c>
      <c r="D179" t="s">
        <v>172</v>
      </c>
      <c r="E179">
        <v>1</v>
      </c>
      <c r="F179">
        <v>0</v>
      </c>
      <c r="G179">
        <v>1</v>
      </c>
      <c r="H179">
        <v>1</v>
      </c>
      <c r="I179">
        <v>1</v>
      </c>
      <c r="J179">
        <v>1</v>
      </c>
      <c r="K179">
        <v>1</v>
      </c>
      <c r="L179">
        <v>1</v>
      </c>
      <c r="M179">
        <v>1</v>
      </c>
      <c r="N179">
        <v>1</v>
      </c>
      <c r="O179">
        <v>1</v>
      </c>
      <c r="P179">
        <v>1</v>
      </c>
      <c r="Q179">
        <v>1</v>
      </c>
      <c r="R179">
        <v>1</v>
      </c>
      <c r="S179">
        <v>0</v>
      </c>
      <c r="T179" t="s">
        <v>51</v>
      </c>
      <c r="U179" t="s">
        <v>51</v>
      </c>
      <c r="V179">
        <v>0</v>
      </c>
      <c r="W179" t="s">
        <v>51</v>
      </c>
      <c r="X179" t="s">
        <v>51</v>
      </c>
      <c r="Y179">
        <v>1</v>
      </c>
      <c r="Z179">
        <v>1</v>
      </c>
      <c r="AA179">
        <v>1</v>
      </c>
      <c r="AB179">
        <v>1</v>
      </c>
      <c r="AC179">
        <v>1</v>
      </c>
      <c r="AD179">
        <v>1</v>
      </c>
      <c r="AE179">
        <v>1</v>
      </c>
      <c r="AF179">
        <v>1</v>
      </c>
      <c r="AG179">
        <v>1</v>
      </c>
      <c r="AH179">
        <v>1</v>
      </c>
      <c r="AI179">
        <v>1</v>
      </c>
      <c r="AJ179">
        <v>1</v>
      </c>
      <c r="AK179">
        <v>1</v>
      </c>
      <c r="AL179">
        <v>1</v>
      </c>
      <c r="AM179">
        <v>1</v>
      </c>
      <c r="AN179">
        <v>1</v>
      </c>
      <c r="AO179">
        <v>2</v>
      </c>
      <c r="AP179">
        <v>1</v>
      </c>
      <c r="AQ179">
        <v>1</v>
      </c>
      <c r="AR179">
        <v>1</v>
      </c>
      <c r="AS179">
        <v>1</v>
      </c>
      <c r="AT179">
        <v>1</v>
      </c>
      <c r="AU179">
        <v>1</v>
      </c>
      <c r="AV179">
        <v>1</v>
      </c>
      <c r="AX179">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80" spans="1:50" hidden="1">
      <c r="A180">
        <v>179</v>
      </c>
      <c r="B180" t="s">
        <v>267</v>
      </c>
      <c r="C180" s="10">
        <v>39097428</v>
      </c>
      <c r="D180" t="s">
        <v>274</v>
      </c>
      <c r="E180">
        <v>1</v>
      </c>
      <c r="F180">
        <v>1</v>
      </c>
      <c r="G180">
        <v>1</v>
      </c>
      <c r="H180">
        <v>1</v>
      </c>
      <c r="I180">
        <v>1</v>
      </c>
      <c r="J180">
        <v>1</v>
      </c>
      <c r="K180">
        <v>2</v>
      </c>
      <c r="L180">
        <v>2</v>
      </c>
      <c r="M180">
        <v>1</v>
      </c>
      <c r="N180">
        <v>2</v>
      </c>
      <c r="O180">
        <v>1</v>
      </c>
      <c r="P180">
        <v>0</v>
      </c>
      <c r="Q180" t="s">
        <v>51</v>
      </c>
      <c r="R180" t="s">
        <v>51</v>
      </c>
      <c r="S180">
        <v>1</v>
      </c>
      <c r="T180">
        <v>1</v>
      </c>
      <c r="U180">
        <v>1</v>
      </c>
      <c r="V180">
        <v>1</v>
      </c>
      <c r="W180">
        <v>1</v>
      </c>
      <c r="X180">
        <v>1</v>
      </c>
      <c r="Y180">
        <v>1</v>
      </c>
      <c r="Z180">
        <v>1</v>
      </c>
      <c r="AA180">
        <v>2</v>
      </c>
      <c r="AB180">
        <v>1</v>
      </c>
      <c r="AC180">
        <v>2</v>
      </c>
      <c r="AD180">
        <v>2</v>
      </c>
      <c r="AE180">
        <v>1</v>
      </c>
      <c r="AF180">
        <v>1</v>
      </c>
      <c r="AG180">
        <v>1</v>
      </c>
      <c r="AH180">
        <v>1</v>
      </c>
      <c r="AI180">
        <v>1</v>
      </c>
      <c r="AJ180">
        <v>1</v>
      </c>
      <c r="AK180">
        <v>1</v>
      </c>
      <c r="AL180">
        <v>1</v>
      </c>
      <c r="AM180">
        <v>1</v>
      </c>
      <c r="AN180">
        <v>1</v>
      </c>
      <c r="AO180">
        <v>2</v>
      </c>
      <c r="AP180">
        <v>1</v>
      </c>
      <c r="AQ180">
        <v>1</v>
      </c>
      <c r="AR180">
        <v>1</v>
      </c>
      <c r="AS180">
        <v>1</v>
      </c>
      <c r="AT180">
        <v>1</v>
      </c>
      <c r="AU180">
        <v>1</v>
      </c>
      <c r="AV180">
        <v>1</v>
      </c>
      <c r="AX180">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81" spans="1:50" hidden="1">
      <c r="A181">
        <v>180</v>
      </c>
      <c r="B181" t="s">
        <v>267</v>
      </c>
      <c r="C181" s="10">
        <v>39095083</v>
      </c>
      <c r="D181" t="s">
        <v>275</v>
      </c>
      <c r="E181">
        <v>1</v>
      </c>
      <c r="F181">
        <v>0</v>
      </c>
      <c r="G181">
        <v>1</v>
      </c>
      <c r="H181">
        <v>1</v>
      </c>
      <c r="I181">
        <v>1</v>
      </c>
      <c r="J181">
        <v>1</v>
      </c>
      <c r="K181">
        <v>1</v>
      </c>
      <c r="L181">
        <v>1</v>
      </c>
      <c r="M181">
        <v>1</v>
      </c>
      <c r="N181">
        <v>1</v>
      </c>
      <c r="O181">
        <v>1</v>
      </c>
      <c r="P181">
        <v>0</v>
      </c>
      <c r="Q181" t="s">
        <v>51</v>
      </c>
      <c r="R181" t="s">
        <v>51</v>
      </c>
      <c r="S181">
        <v>1</v>
      </c>
      <c r="T181">
        <v>1</v>
      </c>
      <c r="U181">
        <v>1</v>
      </c>
      <c r="V181">
        <v>1</v>
      </c>
      <c r="W181">
        <v>1</v>
      </c>
      <c r="X181">
        <v>1</v>
      </c>
      <c r="Y181">
        <v>0</v>
      </c>
      <c r="Z181" t="s">
        <v>51</v>
      </c>
      <c r="AA181" t="s">
        <v>51</v>
      </c>
      <c r="AB181">
        <v>1</v>
      </c>
      <c r="AC181">
        <v>1</v>
      </c>
      <c r="AD181">
        <v>1</v>
      </c>
      <c r="AE181">
        <v>1</v>
      </c>
      <c r="AF181">
        <v>1</v>
      </c>
      <c r="AG181">
        <v>1</v>
      </c>
      <c r="AH181">
        <v>1</v>
      </c>
      <c r="AI181">
        <v>1</v>
      </c>
      <c r="AJ181">
        <v>1</v>
      </c>
      <c r="AK181">
        <v>1</v>
      </c>
      <c r="AL181">
        <v>1</v>
      </c>
      <c r="AM181">
        <v>1</v>
      </c>
      <c r="AN181">
        <v>1</v>
      </c>
      <c r="AO181">
        <v>1</v>
      </c>
      <c r="AP181">
        <v>1</v>
      </c>
      <c r="AQ181">
        <v>1</v>
      </c>
      <c r="AR181">
        <v>1</v>
      </c>
      <c r="AS181">
        <v>2</v>
      </c>
      <c r="AT181">
        <v>1</v>
      </c>
      <c r="AU181">
        <v>1</v>
      </c>
      <c r="AV181">
        <v>2</v>
      </c>
      <c r="AW181" s="11"/>
      <c r="AX181" s="11">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82" spans="1:50" s="21" customFormat="1" hidden="1">
      <c r="A182" s="21">
        <v>181</v>
      </c>
      <c r="B182" s="21" t="s">
        <v>276</v>
      </c>
      <c r="C182" s="22">
        <v>39097273</v>
      </c>
      <c r="D182" s="21" t="s">
        <v>277</v>
      </c>
      <c r="E182" s="21">
        <v>1</v>
      </c>
      <c r="F182" s="21">
        <v>0</v>
      </c>
      <c r="G182" s="21">
        <v>1</v>
      </c>
      <c r="H182" s="21">
        <v>2</v>
      </c>
      <c r="I182" s="21">
        <v>1</v>
      </c>
      <c r="J182" s="21">
        <v>1</v>
      </c>
      <c r="K182" s="21">
        <v>1</v>
      </c>
      <c r="L182" s="21">
        <v>1</v>
      </c>
      <c r="M182" s="21">
        <v>1</v>
      </c>
      <c r="N182" s="21">
        <v>2</v>
      </c>
      <c r="O182" s="21">
        <v>1</v>
      </c>
      <c r="P182" s="21">
        <v>1</v>
      </c>
      <c r="Q182" s="21">
        <v>2</v>
      </c>
      <c r="R182" s="21">
        <v>1</v>
      </c>
      <c r="S182" s="21">
        <v>0</v>
      </c>
      <c r="T182" s="21" t="s">
        <v>51</v>
      </c>
      <c r="U182" s="21" t="s">
        <v>51</v>
      </c>
      <c r="V182" s="21">
        <v>0</v>
      </c>
      <c r="W182" s="21" t="s">
        <v>51</v>
      </c>
      <c r="X182" s="21" t="s">
        <v>51</v>
      </c>
      <c r="Y182" s="21">
        <v>1</v>
      </c>
      <c r="Z182" s="21">
        <v>2</v>
      </c>
      <c r="AA182" s="21">
        <v>1</v>
      </c>
      <c r="AB182" s="21">
        <v>1</v>
      </c>
      <c r="AC182" s="21">
        <v>2</v>
      </c>
      <c r="AD182" s="21">
        <v>2</v>
      </c>
      <c r="AE182" s="21">
        <v>1</v>
      </c>
      <c r="AF182" s="21">
        <v>1</v>
      </c>
      <c r="AG182" s="21">
        <v>1</v>
      </c>
      <c r="AH182" s="21">
        <v>1</v>
      </c>
      <c r="AI182" s="21">
        <v>2</v>
      </c>
      <c r="AJ182" s="21">
        <v>1</v>
      </c>
      <c r="AK182" s="21">
        <v>1</v>
      </c>
      <c r="AL182" s="21">
        <v>2</v>
      </c>
      <c r="AM182" s="21">
        <v>1</v>
      </c>
      <c r="AN182" s="21">
        <v>1</v>
      </c>
      <c r="AO182" s="21">
        <v>2</v>
      </c>
      <c r="AP182" s="21">
        <v>1</v>
      </c>
      <c r="AQ182" s="21">
        <v>1</v>
      </c>
      <c r="AR182" s="21">
        <v>2</v>
      </c>
      <c r="AS182" s="21">
        <v>1</v>
      </c>
      <c r="AT182" s="21">
        <v>1</v>
      </c>
      <c r="AU182" s="21">
        <v>3</v>
      </c>
      <c r="AV182" s="21">
        <v>2</v>
      </c>
      <c r="AW182" s="24"/>
      <c r="AX182" s="24">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83" spans="1:50" hidden="1">
      <c r="A183">
        <v>182</v>
      </c>
      <c r="B183" t="s">
        <v>276</v>
      </c>
      <c r="C183" s="10">
        <v>39090738</v>
      </c>
      <c r="D183" t="s">
        <v>278</v>
      </c>
      <c r="E183">
        <v>1</v>
      </c>
      <c r="F183">
        <v>0</v>
      </c>
      <c r="G183">
        <v>1</v>
      </c>
      <c r="H183">
        <v>1</v>
      </c>
      <c r="I183">
        <v>1</v>
      </c>
      <c r="J183">
        <v>1</v>
      </c>
      <c r="K183">
        <v>1</v>
      </c>
      <c r="L183">
        <v>1</v>
      </c>
      <c r="M183">
        <v>1</v>
      </c>
      <c r="N183">
        <v>1</v>
      </c>
      <c r="O183">
        <v>1</v>
      </c>
      <c r="P183">
        <v>0</v>
      </c>
      <c r="Q183" t="s">
        <v>51</v>
      </c>
      <c r="R183" t="s">
        <v>51</v>
      </c>
      <c r="S183">
        <v>0</v>
      </c>
      <c r="T183" t="s">
        <v>51</v>
      </c>
      <c r="U183" t="s">
        <v>51</v>
      </c>
      <c r="V183">
        <v>0</v>
      </c>
      <c r="W183" t="s">
        <v>51</v>
      </c>
      <c r="X183" t="s">
        <v>51</v>
      </c>
      <c r="Y183">
        <v>1</v>
      </c>
      <c r="Z183">
        <v>2</v>
      </c>
      <c r="AA183">
        <v>1</v>
      </c>
      <c r="AB183">
        <v>1</v>
      </c>
      <c r="AC183">
        <v>2</v>
      </c>
      <c r="AD183">
        <v>1</v>
      </c>
      <c r="AE183">
        <v>1</v>
      </c>
      <c r="AF183">
        <v>1</v>
      </c>
      <c r="AG183">
        <v>1</v>
      </c>
      <c r="AH183">
        <v>1</v>
      </c>
      <c r="AI183">
        <v>2</v>
      </c>
      <c r="AJ183">
        <v>1</v>
      </c>
      <c r="AK183">
        <v>1</v>
      </c>
      <c r="AL183">
        <v>2</v>
      </c>
      <c r="AM183">
        <v>1</v>
      </c>
      <c r="AN183">
        <v>1</v>
      </c>
      <c r="AO183">
        <v>1</v>
      </c>
      <c r="AP183">
        <v>1</v>
      </c>
      <c r="AQ183">
        <v>1</v>
      </c>
      <c r="AR183">
        <v>1</v>
      </c>
      <c r="AS183">
        <v>1</v>
      </c>
      <c r="AT183">
        <v>1</v>
      </c>
      <c r="AU183">
        <v>1</v>
      </c>
      <c r="AV183">
        <v>1</v>
      </c>
      <c r="AX183">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84" spans="1:50" hidden="1">
      <c r="A184">
        <v>183</v>
      </c>
      <c r="B184" t="s">
        <v>276</v>
      </c>
      <c r="C184" s="10">
        <v>39091785</v>
      </c>
      <c r="D184" t="s">
        <v>212</v>
      </c>
      <c r="E184">
        <v>1</v>
      </c>
      <c r="F184">
        <v>0</v>
      </c>
      <c r="G184">
        <v>1</v>
      </c>
      <c r="H184">
        <v>1</v>
      </c>
      <c r="I184">
        <v>1</v>
      </c>
      <c r="J184">
        <v>1</v>
      </c>
      <c r="K184">
        <v>1</v>
      </c>
      <c r="L184">
        <v>1</v>
      </c>
      <c r="M184">
        <v>1</v>
      </c>
      <c r="N184">
        <v>1</v>
      </c>
      <c r="O184">
        <v>1</v>
      </c>
      <c r="P184">
        <v>0</v>
      </c>
      <c r="Q184" t="s">
        <v>51</v>
      </c>
      <c r="R184" t="s">
        <v>51</v>
      </c>
      <c r="S184">
        <v>1</v>
      </c>
      <c r="T184">
        <v>2</v>
      </c>
      <c r="U184">
        <v>1</v>
      </c>
      <c r="V184">
        <v>1</v>
      </c>
      <c r="W184">
        <v>2</v>
      </c>
      <c r="X184">
        <v>1</v>
      </c>
      <c r="Y184">
        <v>0</v>
      </c>
      <c r="Z184" t="s">
        <v>51</v>
      </c>
      <c r="AA184" t="s">
        <v>51</v>
      </c>
      <c r="AB184">
        <v>1</v>
      </c>
      <c r="AC184">
        <v>1</v>
      </c>
      <c r="AD184">
        <v>1</v>
      </c>
      <c r="AE184">
        <v>1</v>
      </c>
      <c r="AF184">
        <v>2</v>
      </c>
      <c r="AG184">
        <v>2</v>
      </c>
      <c r="AH184">
        <v>1</v>
      </c>
      <c r="AI184">
        <v>1</v>
      </c>
      <c r="AJ184">
        <v>1</v>
      </c>
      <c r="AK184">
        <v>0</v>
      </c>
      <c r="AL184" t="s">
        <v>51</v>
      </c>
      <c r="AM184" t="s">
        <v>51</v>
      </c>
      <c r="AN184">
        <v>1</v>
      </c>
      <c r="AO184">
        <v>1</v>
      </c>
      <c r="AP184">
        <v>1</v>
      </c>
      <c r="AQ184">
        <v>1</v>
      </c>
      <c r="AR184">
        <v>1</v>
      </c>
      <c r="AS184">
        <v>2</v>
      </c>
      <c r="AT184">
        <v>1</v>
      </c>
      <c r="AU184">
        <v>1</v>
      </c>
      <c r="AV184">
        <v>1</v>
      </c>
      <c r="AW184" t="s">
        <v>279</v>
      </c>
      <c r="AX184">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85" spans="1:50" hidden="1">
      <c r="A185">
        <v>184</v>
      </c>
      <c r="B185" t="s">
        <v>276</v>
      </c>
      <c r="C185" s="10">
        <v>39098285</v>
      </c>
      <c r="D185" t="s">
        <v>280</v>
      </c>
      <c r="E185">
        <v>1</v>
      </c>
      <c r="F185">
        <v>1</v>
      </c>
      <c r="G185">
        <v>1</v>
      </c>
      <c r="H185">
        <v>1</v>
      </c>
      <c r="I185">
        <v>1</v>
      </c>
      <c r="J185">
        <v>1</v>
      </c>
      <c r="K185">
        <v>1</v>
      </c>
      <c r="L185">
        <v>1</v>
      </c>
      <c r="M185">
        <v>1</v>
      </c>
      <c r="N185">
        <v>1</v>
      </c>
      <c r="O185">
        <v>1</v>
      </c>
      <c r="P185">
        <v>1</v>
      </c>
      <c r="Q185">
        <v>2</v>
      </c>
      <c r="R185">
        <v>1</v>
      </c>
      <c r="S185">
        <v>1</v>
      </c>
      <c r="T185">
        <v>2</v>
      </c>
      <c r="U185">
        <v>1</v>
      </c>
      <c r="V185">
        <v>1</v>
      </c>
      <c r="W185">
        <v>1</v>
      </c>
      <c r="X185">
        <v>1</v>
      </c>
      <c r="Y185">
        <v>1</v>
      </c>
      <c r="Z185">
        <v>2</v>
      </c>
      <c r="AA185">
        <v>1</v>
      </c>
      <c r="AB185">
        <v>1</v>
      </c>
      <c r="AC185">
        <v>2</v>
      </c>
      <c r="AD185">
        <v>1</v>
      </c>
      <c r="AE185">
        <v>1</v>
      </c>
      <c r="AF185">
        <v>2</v>
      </c>
      <c r="AG185">
        <v>2</v>
      </c>
      <c r="AH185">
        <v>1</v>
      </c>
      <c r="AI185">
        <v>1</v>
      </c>
      <c r="AJ185">
        <v>1</v>
      </c>
      <c r="AK185">
        <v>1</v>
      </c>
      <c r="AL185">
        <v>1</v>
      </c>
      <c r="AM185">
        <v>1</v>
      </c>
      <c r="AN185">
        <v>1</v>
      </c>
      <c r="AO185">
        <v>2</v>
      </c>
      <c r="AP185">
        <v>1</v>
      </c>
      <c r="AQ185">
        <v>1</v>
      </c>
      <c r="AR185">
        <v>1</v>
      </c>
      <c r="AS185">
        <v>1</v>
      </c>
      <c r="AT185">
        <v>1</v>
      </c>
      <c r="AU185">
        <v>1</v>
      </c>
      <c r="AV185">
        <v>1</v>
      </c>
      <c r="AW185" t="s">
        <v>281</v>
      </c>
      <c r="AX185">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86" spans="1:50" hidden="1">
      <c r="A186">
        <v>185</v>
      </c>
      <c r="B186" t="s">
        <v>276</v>
      </c>
      <c r="C186" s="10">
        <v>39090068</v>
      </c>
      <c r="D186" t="s">
        <v>282</v>
      </c>
      <c r="E186">
        <v>1</v>
      </c>
      <c r="F186">
        <v>0</v>
      </c>
      <c r="G186">
        <v>1</v>
      </c>
      <c r="H186">
        <v>1</v>
      </c>
      <c r="I186">
        <v>1</v>
      </c>
      <c r="J186">
        <v>1</v>
      </c>
      <c r="K186">
        <v>1</v>
      </c>
      <c r="L186">
        <v>1</v>
      </c>
      <c r="M186">
        <v>1</v>
      </c>
      <c r="N186">
        <v>1</v>
      </c>
      <c r="O186">
        <v>1</v>
      </c>
      <c r="P186">
        <v>1</v>
      </c>
      <c r="Q186">
        <v>1</v>
      </c>
      <c r="R186">
        <v>1</v>
      </c>
      <c r="S186">
        <v>0</v>
      </c>
      <c r="T186" t="s">
        <v>51</v>
      </c>
      <c r="U186" t="s">
        <v>51</v>
      </c>
      <c r="V186">
        <v>1</v>
      </c>
      <c r="W186">
        <v>2</v>
      </c>
      <c r="X186">
        <v>1</v>
      </c>
      <c r="Y186">
        <v>1</v>
      </c>
      <c r="Z186">
        <v>1</v>
      </c>
      <c r="AA186">
        <v>1</v>
      </c>
      <c r="AB186">
        <v>1</v>
      </c>
      <c r="AC186">
        <v>1</v>
      </c>
      <c r="AD186">
        <v>1</v>
      </c>
      <c r="AE186">
        <v>1</v>
      </c>
      <c r="AF186">
        <v>1</v>
      </c>
      <c r="AG186">
        <v>1</v>
      </c>
      <c r="AH186">
        <v>1</v>
      </c>
      <c r="AI186">
        <v>1</v>
      </c>
      <c r="AJ186">
        <v>1</v>
      </c>
      <c r="AK186">
        <v>1</v>
      </c>
      <c r="AL186">
        <v>1</v>
      </c>
      <c r="AM186">
        <v>1</v>
      </c>
      <c r="AN186">
        <v>1</v>
      </c>
      <c r="AO186">
        <v>2</v>
      </c>
      <c r="AP186">
        <v>1</v>
      </c>
      <c r="AQ186">
        <v>1</v>
      </c>
      <c r="AR186">
        <v>1</v>
      </c>
      <c r="AS186">
        <v>1</v>
      </c>
      <c r="AT186">
        <v>1</v>
      </c>
      <c r="AU186">
        <v>1</v>
      </c>
      <c r="AV186">
        <v>1</v>
      </c>
      <c r="AX18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87" spans="1:50" hidden="1">
      <c r="A187">
        <v>186</v>
      </c>
      <c r="B187" t="s">
        <v>276</v>
      </c>
      <c r="C187" s="10">
        <v>39078953</v>
      </c>
      <c r="D187" t="s">
        <v>283</v>
      </c>
      <c r="E187">
        <v>1</v>
      </c>
      <c r="F187">
        <v>1</v>
      </c>
      <c r="G187">
        <v>1</v>
      </c>
      <c r="H187">
        <v>1</v>
      </c>
      <c r="I187">
        <v>1</v>
      </c>
      <c r="J187">
        <v>1</v>
      </c>
      <c r="K187">
        <v>1</v>
      </c>
      <c r="L187">
        <v>1</v>
      </c>
      <c r="M187">
        <v>0</v>
      </c>
      <c r="N187" t="s">
        <v>51</v>
      </c>
      <c r="O187" t="s">
        <v>51</v>
      </c>
      <c r="P187">
        <v>0</v>
      </c>
      <c r="Q187" t="s">
        <v>51</v>
      </c>
      <c r="R187" t="s">
        <v>51</v>
      </c>
      <c r="S187">
        <v>0</v>
      </c>
      <c r="T187" t="s">
        <v>51</v>
      </c>
      <c r="U187" t="s">
        <v>51</v>
      </c>
      <c r="V187">
        <v>1</v>
      </c>
      <c r="W187">
        <v>1</v>
      </c>
      <c r="X187">
        <v>1</v>
      </c>
      <c r="Y187">
        <v>1</v>
      </c>
      <c r="Z187">
        <v>1</v>
      </c>
      <c r="AA187">
        <v>1</v>
      </c>
      <c r="AB187">
        <v>1</v>
      </c>
      <c r="AC187">
        <v>1</v>
      </c>
      <c r="AD187">
        <v>1</v>
      </c>
      <c r="AE187">
        <v>1</v>
      </c>
      <c r="AF187">
        <v>2</v>
      </c>
      <c r="AG187">
        <v>2</v>
      </c>
      <c r="AH187">
        <v>1</v>
      </c>
      <c r="AI187">
        <v>1</v>
      </c>
      <c r="AJ187">
        <v>1</v>
      </c>
      <c r="AK187">
        <v>1</v>
      </c>
      <c r="AL187">
        <v>1</v>
      </c>
      <c r="AM187">
        <v>1</v>
      </c>
      <c r="AN187">
        <v>1</v>
      </c>
      <c r="AO187">
        <v>2</v>
      </c>
      <c r="AP187">
        <v>1</v>
      </c>
      <c r="AQ187">
        <v>1</v>
      </c>
      <c r="AR187">
        <v>1</v>
      </c>
      <c r="AS187">
        <v>1</v>
      </c>
      <c r="AT187">
        <v>1</v>
      </c>
      <c r="AU187">
        <v>1</v>
      </c>
      <c r="AV187">
        <v>1</v>
      </c>
      <c r="AW187" t="s">
        <v>284</v>
      </c>
      <c r="AX187">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88" spans="1:50" hidden="1">
      <c r="A188">
        <v>187</v>
      </c>
      <c r="B188" t="s">
        <v>276</v>
      </c>
      <c r="C188" s="10">
        <v>39100180</v>
      </c>
      <c r="D188" t="s">
        <v>212</v>
      </c>
      <c r="E188">
        <v>1</v>
      </c>
      <c r="F188">
        <v>0</v>
      </c>
      <c r="G188">
        <v>1</v>
      </c>
      <c r="H188">
        <v>1</v>
      </c>
      <c r="I188">
        <v>1</v>
      </c>
      <c r="J188">
        <v>1</v>
      </c>
      <c r="K188">
        <v>1</v>
      </c>
      <c r="L188">
        <v>1</v>
      </c>
      <c r="M188">
        <v>1</v>
      </c>
      <c r="N188">
        <v>1</v>
      </c>
      <c r="O188">
        <v>1</v>
      </c>
      <c r="P188">
        <v>0</v>
      </c>
      <c r="Q188" t="s">
        <v>51</v>
      </c>
      <c r="R188" t="s">
        <v>51</v>
      </c>
      <c r="S188">
        <v>1</v>
      </c>
      <c r="T188">
        <v>2</v>
      </c>
      <c r="U188">
        <v>1</v>
      </c>
      <c r="V188">
        <v>1</v>
      </c>
      <c r="W188">
        <v>2</v>
      </c>
      <c r="X188">
        <v>1</v>
      </c>
      <c r="Y188">
        <v>0</v>
      </c>
      <c r="Z188" t="s">
        <v>51</v>
      </c>
      <c r="AA188" t="s">
        <v>51</v>
      </c>
      <c r="AB188">
        <v>1</v>
      </c>
      <c r="AC188">
        <v>1</v>
      </c>
      <c r="AD188">
        <v>1</v>
      </c>
      <c r="AE188">
        <v>0</v>
      </c>
      <c r="AF188" t="s">
        <v>51</v>
      </c>
      <c r="AG188" t="s">
        <v>51</v>
      </c>
      <c r="AH188">
        <v>1</v>
      </c>
      <c r="AI188">
        <v>1</v>
      </c>
      <c r="AJ188">
        <v>1</v>
      </c>
      <c r="AK188">
        <v>1</v>
      </c>
      <c r="AL188">
        <v>1</v>
      </c>
      <c r="AM188">
        <v>1</v>
      </c>
      <c r="AN188">
        <v>1</v>
      </c>
      <c r="AO188">
        <v>1</v>
      </c>
      <c r="AP188">
        <v>1</v>
      </c>
      <c r="AQ188">
        <v>1</v>
      </c>
      <c r="AR188" s="15">
        <v>1</v>
      </c>
      <c r="AS188">
        <v>2</v>
      </c>
      <c r="AT188">
        <v>1</v>
      </c>
      <c r="AU188">
        <v>1</v>
      </c>
      <c r="AV188">
        <v>1</v>
      </c>
      <c r="AW188" t="s">
        <v>285</v>
      </c>
      <c r="AX188">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89" spans="1:50" hidden="1">
      <c r="A189">
        <v>188</v>
      </c>
      <c r="B189" t="s">
        <v>276</v>
      </c>
      <c r="C189" s="10">
        <v>39101561</v>
      </c>
      <c r="D189" t="s">
        <v>286</v>
      </c>
      <c r="E189">
        <v>1</v>
      </c>
      <c r="F189">
        <v>0</v>
      </c>
      <c r="G189">
        <v>1</v>
      </c>
      <c r="H189">
        <v>1</v>
      </c>
      <c r="I189">
        <v>1</v>
      </c>
      <c r="J189">
        <v>1</v>
      </c>
      <c r="K189">
        <v>1</v>
      </c>
      <c r="L189">
        <v>1</v>
      </c>
      <c r="M189">
        <v>1</v>
      </c>
      <c r="N189">
        <v>1</v>
      </c>
      <c r="O189">
        <v>1</v>
      </c>
      <c r="P189">
        <v>1</v>
      </c>
      <c r="Q189">
        <v>1</v>
      </c>
      <c r="R189">
        <v>1</v>
      </c>
      <c r="S189">
        <v>1</v>
      </c>
      <c r="T189">
        <v>1</v>
      </c>
      <c r="U189">
        <v>1</v>
      </c>
      <c r="V189">
        <v>1</v>
      </c>
      <c r="W189">
        <v>1</v>
      </c>
      <c r="X189">
        <v>1</v>
      </c>
      <c r="Y189">
        <v>0</v>
      </c>
      <c r="Z189" t="s">
        <v>51</v>
      </c>
      <c r="AA189" t="s">
        <v>51</v>
      </c>
      <c r="AB189">
        <v>1</v>
      </c>
      <c r="AC189">
        <v>1</v>
      </c>
      <c r="AD189">
        <v>1</v>
      </c>
      <c r="AE189">
        <v>1</v>
      </c>
      <c r="AF189">
        <v>1</v>
      </c>
      <c r="AG189">
        <v>1</v>
      </c>
      <c r="AH189">
        <v>1</v>
      </c>
      <c r="AI189">
        <v>1</v>
      </c>
      <c r="AJ189">
        <v>1</v>
      </c>
      <c r="AK189">
        <v>1</v>
      </c>
      <c r="AL189">
        <v>1</v>
      </c>
      <c r="AM189">
        <v>1</v>
      </c>
      <c r="AN189">
        <v>1</v>
      </c>
      <c r="AO189">
        <v>1</v>
      </c>
      <c r="AP189">
        <v>1</v>
      </c>
      <c r="AQ189">
        <v>1</v>
      </c>
      <c r="AR189">
        <v>1</v>
      </c>
      <c r="AS189">
        <v>1</v>
      </c>
      <c r="AT189">
        <v>1</v>
      </c>
      <c r="AU189">
        <v>1</v>
      </c>
      <c r="AV189">
        <v>1</v>
      </c>
      <c r="AX189">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90" spans="1:50" hidden="1">
      <c r="A190">
        <v>189</v>
      </c>
      <c r="B190" t="s">
        <v>276</v>
      </c>
      <c r="C190" s="10">
        <v>39095988</v>
      </c>
      <c r="D190" t="s">
        <v>199</v>
      </c>
      <c r="E190">
        <v>1</v>
      </c>
      <c r="F190">
        <v>0</v>
      </c>
      <c r="G190">
        <v>1</v>
      </c>
      <c r="H190">
        <v>1</v>
      </c>
      <c r="I190">
        <v>1</v>
      </c>
      <c r="J190">
        <v>1</v>
      </c>
      <c r="K190">
        <v>1</v>
      </c>
      <c r="L190">
        <v>1</v>
      </c>
      <c r="M190">
        <v>1</v>
      </c>
      <c r="N190">
        <v>1</v>
      </c>
      <c r="O190">
        <v>1</v>
      </c>
      <c r="P190">
        <v>1</v>
      </c>
      <c r="Q190">
        <v>1</v>
      </c>
      <c r="R190">
        <v>1</v>
      </c>
      <c r="S190">
        <v>0</v>
      </c>
      <c r="T190" t="s">
        <v>51</v>
      </c>
      <c r="U190" t="s">
        <v>51</v>
      </c>
      <c r="V190">
        <v>0</v>
      </c>
      <c r="W190" t="s">
        <v>51</v>
      </c>
      <c r="X190" t="s">
        <v>51</v>
      </c>
      <c r="Y190">
        <v>1</v>
      </c>
      <c r="Z190">
        <v>1</v>
      </c>
      <c r="AA190">
        <v>2</v>
      </c>
      <c r="AB190">
        <v>1</v>
      </c>
      <c r="AC190">
        <v>1</v>
      </c>
      <c r="AD190">
        <v>1</v>
      </c>
      <c r="AE190">
        <v>1</v>
      </c>
      <c r="AF190">
        <v>2</v>
      </c>
      <c r="AG190">
        <v>1</v>
      </c>
      <c r="AH190">
        <v>1</v>
      </c>
      <c r="AI190">
        <v>1</v>
      </c>
      <c r="AJ190">
        <v>1</v>
      </c>
      <c r="AK190">
        <v>1</v>
      </c>
      <c r="AL190">
        <v>1</v>
      </c>
      <c r="AM190">
        <v>1</v>
      </c>
      <c r="AN190">
        <v>1</v>
      </c>
      <c r="AO190">
        <v>2</v>
      </c>
      <c r="AP190">
        <v>1</v>
      </c>
      <c r="AQ190">
        <v>1</v>
      </c>
      <c r="AR190">
        <v>1</v>
      </c>
      <c r="AS190">
        <v>1</v>
      </c>
      <c r="AT190">
        <v>1</v>
      </c>
      <c r="AU190">
        <v>1</v>
      </c>
      <c r="AV190">
        <v>1</v>
      </c>
      <c r="AW190" t="s">
        <v>287</v>
      </c>
      <c r="AX190">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91" spans="1:50" hidden="1">
      <c r="A191">
        <v>190</v>
      </c>
      <c r="B191" t="s">
        <v>276</v>
      </c>
      <c r="C191" s="10">
        <v>39097532</v>
      </c>
      <c r="D191" t="s">
        <v>288</v>
      </c>
      <c r="E191">
        <v>2</v>
      </c>
      <c r="F191">
        <v>0</v>
      </c>
      <c r="G191">
        <v>1</v>
      </c>
      <c r="H191">
        <v>1</v>
      </c>
      <c r="I191">
        <v>1</v>
      </c>
      <c r="J191">
        <v>1</v>
      </c>
      <c r="K191">
        <v>1</v>
      </c>
      <c r="L191">
        <v>1</v>
      </c>
      <c r="M191">
        <v>1</v>
      </c>
      <c r="N191">
        <v>1</v>
      </c>
      <c r="O191">
        <v>1</v>
      </c>
      <c r="P191">
        <v>1</v>
      </c>
      <c r="Q191">
        <v>1</v>
      </c>
      <c r="R191">
        <v>1</v>
      </c>
      <c r="S191">
        <v>0</v>
      </c>
      <c r="T191" t="s">
        <v>51</v>
      </c>
      <c r="U191" t="s">
        <v>51</v>
      </c>
      <c r="V191">
        <v>0</v>
      </c>
      <c r="W191" t="s">
        <v>51</v>
      </c>
      <c r="X191" t="s">
        <v>51</v>
      </c>
      <c r="Y191">
        <v>1</v>
      </c>
      <c r="Z191">
        <v>1</v>
      </c>
      <c r="AA191">
        <v>1</v>
      </c>
      <c r="AB191">
        <v>1</v>
      </c>
      <c r="AC191">
        <v>1</v>
      </c>
      <c r="AD191">
        <v>1</v>
      </c>
      <c r="AE191">
        <v>0</v>
      </c>
      <c r="AF191" t="s">
        <v>51</v>
      </c>
      <c r="AG191" t="s">
        <v>51</v>
      </c>
      <c r="AH191">
        <v>1</v>
      </c>
      <c r="AI191">
        <v>1</v>
      </c>
      <c r="AJ191">
        <v>1</v>
      </c>
      <c r="AK191">
        <v>1</v>
      </c>
      <c r="AL191">
        <v>1</v>
      </c>
      <c r="AM191">
        <v>1</v>
      </c>
      <c r="AN191">
        <v>0</v>
      </c>
      <c r="AO191" t="s">
        <v>51</v>
      </c>
      <c r="AP191" t="s">
        <v>51</v>
      </c>
      <c r="AQ191">
        <v>1</v>
      </c>
      <c r="AR191">
        <v>1</v>
      </c>
      <c r="AS191">
        <v>1</v>
      </c>
      <c r="AT191">
        <v>1</v>
      </c>
      <c r="AU191">
        <v>1</v>
      </c>
      <c r="AV191">
        <v>1</v>
      </c>
      <c r="AX191">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92" spans="1:50" hidden="1">
      <c r="A192">
        <v>191</v>
      </c>
      <c r="B192" t="s">
        <v>289</v>
      </c>
      <c r="C192" s="8" t="s">
        <v>290</v>
      </c>
      <c r="D192" t="s">
        <v>212</v>
      </c>
      <c r="E192">
        <v>1</v>
      </c>
      <c r="F192">
        <v>0</v>
      </c>
      <c r="G192">
        <v>1</v>
      </c>
      <c r="H192">
        <v>1</v>
      </c>
      <c r="I192">
        <v>1</v>
      </c>
      <c r="J192">
        <v>1</v>
      </c>
      <c r="K192">
        <v>1</v>
      </c>
      <c r="L192">
        <v>1</v>
      </c>
      <c r="M192">
        <v>1</v>
      </c>
      <c r="N192">
        <v>1</v>
      </c>
      <c r="O192">
        <v>1</v>
      </c>
      <c r="P192">
        <v>0</v>
      </c>
      <c r="Q192" t="s">
        <v>51</v>
      </c>
      <c r="R192" t="s">
        <v>51</v>
      </c>
      <c r="S192">
        <v>0</v>
      </c>
      <c r="T192" t="s">
        <v>51</v>
      </c>
      <c r="U192" t="s">
        <v>51</v>
      </c>
      <c r="V192">
        <v>0</v>
      </c>
      <c r="W192" t="s">
        <v>51</v>
      </c>
      <c r="X192" t="s">
        <v>51</v>
      </c>
      <c r="Y192">
        <v>1</v>
      </c>
      <c r="Z192">
        <v>1</v>
      </c>
      <c r="AA192">
        <v>1</v>
      </c>
      <c r="AB192">
        <v>1</v>
      </c>
      <c r="AC192">
        <v>1</v>
      </c>
      <c r="AD192">
        <v>1</v>
      </c>
      <c r="AE192">
        <v>1</v>
      </c>
      <c r="AF192">
        <v>1</v>
      </c>
      <c r="AG192">
        <v>1</v>
      </c>
      <c r="AH192">
        <v>1</v>
      </c>
      <c r="AI192">
        <v>1</v>
      </c>
      <c r="AJ192">
        <v>1</v>
      </c>
      <c r="AK192">
        <v>1</v>
      </c>
      <c r="AL192">
        <v>1</v>
      </c>
      <c r="AM192">
        <v>1</v>
      </c>
      <c r="AN192">
        <v>0</v>
      </c>
      <c r="AO192" t="s">
        <v>51</v>
      </c>
      <c r="AP192" t="s">
        <v>51</v>
      </c>
      <c r="AQ192">
        <v>1</v>
      </c>
      <c r="AR192">
        <v>1</v>
      </c>
      <c r="AS192">
        <v>1</v>
      </c>
      <c r="AT192">
        <v>1</v>
      </c>
      <c r="AU192">
        <v>1</v>
      </c>
      <c r="AV192">
        <v>2</v>
      </c>
      <c r="AW192" t="s">
        <v>291</v>
      </c>
      <c r="AX192">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93" spans="1:50" hidden="1">
      <c r="A193">
        <v>192</v>
      </c>
      <c r="B193" t="s">
        <v>289</v>
      </c>
      <c r="C193" s="10">
        <v>39102588</v>
      </c>
      <c r="D193" t="s">
        <v>255</v>
      </c>
      <c r="E193">
        <v>1</v>
      </c>
      <c r="F193">
        <v>0</v>
      </c>
      <c r="G193">
        <v>1</v>
      </c>
      <c r="H193">
        <v>1</v>
      </c>
      <c r="I193">
        <v>1</v>
      </c>
      <c r="J193">
        <v>1</v>
      </c>
      <c r="K193">
        <v>1</v>
      </c>
      <c r="L193">
        <v>1</v>
      </c>
      <c r="M193">
        <v>1</v>
      </c>
      <c r="N193">
        <v>1</v>
      </c>
      <c r="O193">
        <v>1</v>
      </c>
      <c r="P193">
        <v>0</v>
      </c>
      <c r="Q193" t="s">
        <v>51</v>
      </c>
      <c r="R193" t="s">
        <v>51</v>
      </c>
      <c r="S193">
        <v>0</v>
      </c>
      <c r="T193" t="s">
        <v>51</v>
      </c>
      <c r="U193" t="s">
        <v>51</v>
      </c>
      <c r="V193">
        <v>0</v>
      </c>
      <c r="W193" t="s">
        <v>51</v>
      </c>
      <c r="X193" t="s">
        <v>51</v>
      </c>
      <c r="Y193">
        <v>1</v>
      </c>
      <c r="Z193">
        <v>1</v>
      </c>
      <c r="AA193">
        <v>1</v>
      </c>
      <c r="AB193">
        <v>1</v>
      </c>
      <c r="AC193">
        <v>2</v>
      </c>
      <c r="AD193">
        <v>1</v>
      </c>
      <c r="AE193">
        <v>1</v>
      </c>
      <c r="AF193">
        <v>1</v>
      </c>
      <c r="AG193">
        <v>1</v>
      </c>
      <c r="AH193">
        <v>1</v>
      </c>
      <c r="AI193">
        <v>1</v>
      </c>
      <c r="AJ193">
        <v>1</v>
      </c>
      <c r="AK193">
        <v>1</v>
      </c>
      <c r="AL193">
        <v>1</v>
      </c>
      <c r="AM193">
        <v>1</v>
      </c>
      <c r="AN193">
        <v>0</v>
      </c>
      <c r="AO193" t="s">
        <v>51</v>
      </c>
      <c r="AP193" t="s">
        <v>51</v>
      </c>
      <c r="AQ193">
        <v>1</v>
      </c>
      <c r="AR193">
        <v>2</v>
      </c>
      <c r="AS193">
        <v>1</v>
      </c>
      <c r="AT193">
        <v>0</v>
      </c>
      <c r="AU193" t="s">
        <v>51</v>
      </c>
      <c r="AV193" t="s">
        <v>51</v>
      </c>
      <c r="AX193">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94" spans="1:50" hidden="1">
      <c r="A194">
        <v>193</v>
      </c>
      <c r="B194" t="s">
        <v>289</v>
      </c>
      <c r="C194" s="10">
        <v>39102158</v>
      </c>
      <c r="D194" t="s">
        <v>292</v>
      </c>
      <c r="E194">
        <v>1</v>
      </c>
      <c r="F194">
        <v>0</v>
      </c>
      <c r="G194">
        <v>1</v>
      </c>
      <c r="H194">
        <v>1</v>
      </c>
      <c r="I194">
        <v>1</v>
      </c>
      <c r="J194">
        <v>1</v>
      </c>
      <c r="K194">
        <v>1</v>
      </c>
      <c r="L194">
        <v>1</v>
      </c>
      <c r="M194">
        <v>1</v>
      </c>
      <c r="N194">
        <v>1</v>
      </c>
      <c r="O194">
        <v>1</v>
      </c>
      <c r="P194">
        <v>1</v>
      </c>
      <c r="Q194">
        <v>1</v>
      </c>
      <c r="R194">
        <v>1</v>
      </c>
      <c r="S194">
        <v>0</v>
      </c>
      <c r="T194" t="s">
        <v>51</v>
      </c>
      <c r="U194" t="s">
        <v>51</v>
      </c>
      <c r="V194">
        <v>0</v>
      </c>
      <c r="W194" t="s">
        <v>51</v>
      </c>
      <c r="X194" t="s">
        <v>51</v>
      </c>
      <c r="Y194">
        <v>1</v>
      </c>
      <c r="Z194">
        <v>1</v>
      </c>
      <c r="AA194">
        <v>1</v>
      </c>
      <c r="AB194">
        <v>1</v>
      </c>
      <c r="AC194">
        <v>2</v>
      </c>
      <c r="AD194">
        <v>1</v>
      </c>
      <c r="AE194">
        <v>1</v>
      </c>
      <c r="AF194">
        <v>1</v>
      </c>
      <c r="AG194">
        <v>1</v>
      </c>
      <c r="AH194">
        <v>1</v>
      </c>
      <c r="AI194">
        <v>1</v>
      </c>
      <c r="AJ194">
        <v>1</v>
      </c>
      <c r="AK194">
        <v>1</v>
      </c>
      <c r="AL194">
        <v>1</v>
      </c>
      <c r="AM194">
        <v>1</v>
      </c>
      <c r="AN194">
        <v>1</v>
      </c>
      <c r="AO194">
        <v>1</v>
      </c>
      <c r="AP194">
        <v>1</v>
      </c>
      <c r="AQ194">
        <v>1</v>
      </c>
      <c r="AR194">
        <v>1</v>
      </c>
      <c r="AS194">
        <v>1</v>
      </c>
      <c r="AT194">
        <v>0</v>
      </c>
      <c r="AU194" t="s">
        <v>51</v>
      </c>
      <c r="AV194" t="s">
        <v>51</v>
      </c>
      <c r="AX194">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95" spans="1:50" hidden="1">
      <c r="A195">
        <v>194</v>
      </c>
      <c r="B195" t="s">
        <v>289</v>
      </c>
      <c r="C195" s="10">
        <v>38371925</v>
      </c>
      <c r="D195" t="s">
        <v>124</v>
      </c>
      <c r="E195">
        <v>1</v>
      </c>
      <c r="F195">
        <v>0</v>
      </c>
      <c r="G195">
        <v>1</v>
      </c>
      <c r="H195">
        <v>1</v>
      </c>
      <c r="I195">
        <v>1</v>
      </c>
      <c r="J195">
        <v>1</v>
      </c>
      <c r="K195">
        <v>1</v>
      </c>
      <c r="L195">
        <v>1</v>
      </c>
      <c r="M195">
        <v>1</v>
      </c>
      <c r="N195">
        <v>1</v>
      </c>
      <c r="O195">
        <v>1</v>
      </c>
      <c r="P195">
        <v>1</v>
      </c>
      <c r="Q195">
        <v>1</v>
      </c>
      <c r="R195">
        <v>1</v>
      </c>
      <c r="S195">
        <v>1</v>
      </c>
      <c r="T195">
        <v>1</v>
      </c>
      <c r="U195">
        <v>1</v>
      </c>
      <c r="V195">
        <v>1</v>
      </c>
      <c r="W195">
        <v>1</v>
      </c>
      <c r="X195">
        <v>1</v>
      </c>
      <c r="Y195">
        <v>1</v>
      </c>
      <c r="Z195">
        <v>1</v>
      </c>
      <c r="AA195">
        <v>1</v>
      </c>
      <c r="AB195">
        <v>1</v>
      </c>
      <c r="AC195">
        <v>1</v>
      </c>
      <c r="AD195">
        <v>1</v>
      </c>
      <c r="AE195">
        <v>1</v>
      </c>
      <c r="AF195">
        <v>1</v>
      </c>
      <c r="AG195">
        <v>1</v>
      </c>
      <c r="AH195">
        <v>1</v>
      </c>
      <c r="AI195">
        <v>1</v>
      </c>
      <c r="AJ195">
        <v>1</v>
      </c>
      <c r="AK195">
        <v>1</v>
      </c>
      <c r="AL195">
        <v>1</v>
      </c>
      <c r="AM195">
        <v>1</v>
      </c>
      <c r="AN195">
        <v>1</v>
      </c>
      <c r="AO195">
        <v>2</v>
      </c>
      <c r="AP195">
        <v>1</v>
      </c>
      <c r="AQ195">
        <v>1</v>
      </c>
      <c r="AR195">
        <v>1</v>
      </c>
      <c r="AS195">
        <v>1</v>
      </c>
      <c r="AT195">
        <v>0</v>
      </c>
      <c r="AU195" t="s">
        <v>51</v>
      </c>
      <c r="AV195" t="s">
        <v>51</v>
      </c>
      <c r="AX195">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96" spans="1:50" hidden="1">
      <c r="A196">
        <v>195</v>
      </c>
      <c r="B196" t="s">
        <v>289</v>
      </c>
      <c r="C196" s="10">
        <v>39101141</v>
      </c>
      <c r="D196" t="s">
        <v>77</v>
      </c>
      <c r="E196">
        <v>1</v>
      </c>
      <c r="F196">
        <v>0</v>
      </c>
      <c r="G196">
        <v>1</v>
      </c>
      <c r="H196">
        <v>1</v>
      </c>
      <c r="I196">
        <v>1</v>
      </c>
      <c r="J196">
        <v>1</v>
      </c>
      <c r="K196">
        <v>1</v>
      </c>
      <c r="L196">
        <v>1</v>
      </c>
      <c r="M196">
        <v>1</v>
      </c>
      <c r="N196">
        <v>1</v>
      </c>
      <c r="O196">
        <v>1</v>
      </c>
      <c r="P196" s="10">
        <v>0</v>
      </c>
      <c r="Q196" t="s">
        <v>51</v>
      </c>
      <c r="R196" t="s">
        <v>51</v>
      </c>
      <c r="S196">
        <v>0</v>
      </c>
      <c r="T196" t="s">
        <v>51</v>
      </c>
      <c r="U196" t="s">
        <v>51</v>
      </c>
      <c r="V196">
        <v>0</v>
      </c>
      <c r="W196" t="s">
        <v>51</v>
      </c>
      <c r="X196" t="s">
        <v>51</v>
      </c>
      <c r="Y196">
        <v>1</v>
      </c>
      <c r="Z196">
        <v>1</v>
      </c>
      <c r="AA196">
        <v>1</v>
      </c>
      <c r="AB196">
        <v>1</v>
      </c>
      <c r="AC196">
        <v>2</v>
      </c>
      <c r="AD196">
        <v>1</v>
      </c>
      <c r="AE196">
        <v>1</v>
      </c>
      <c r="AF196">
        <v>1</v>
      </c>
      <c r="AG196">
        <v>1</v>
      </c>
      <c r="AH196">
        <v>1</v>
      </c>
      <c r="AI196">
        <v>1</v>
      </c>
      <c r="AJ196">
        <v>1</v>
      </c>
      <c r="AK196">
        <v>1</v>
      </c>
      <c r="AL196">
        <v>1</v>
      </c>
      <c r="AM196">
        <v>1</v>
      </c>
      <c r="AN196">
        <v>0</v>
      </c>
      <c r="AO196" t="s">
        <v>51</v>
      </c>
      <c r="AP196" t="s">
        <v>51</v>
      </c>
      <c r="AQ196">
        <v>1</v>
      </c>
      <c r="AR196">
        <v>1</v>
      </c>
      <c r="AS196">
        <v>1</v>
      </c>
      <c r="AT196">
        <v>1</v>
      </c>
      <c r="AU196">
        <v>1</v>
      </c>
      <c r="AV196">
        <v>1</v>
      </c>
      <c r="AX196">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97" spans="1:50" hidden="1">
      <c r="A197">
        <v>196</v>
      </c>
      <c r="B197" t="s">
        <v>289</v>
      </c>
      <c r="C197" s="10">
        <v>39097440</v>
      </c>
      <c r="D197" t="s">
        <v>293</v>
      </c>
      <c r="E197">
        <v>1</v>
      </c>
      <c r="F197">
        <v>0</v>
      </c>
      <c r="G197">
        <v>1</v>
      </c>
      <c r="H197">
        <v>1</v>
      </c>
      <c r="I197">
        <v>1</v>
      </c>
      <c r="J197">
        <v>1</v>
      </c>
      <c r="K197">
        <v>1</v>
      </c>
      <c r="L197">
        <v>1</v>
      </c>
      <c r="M197">
        <v>1</v>
      </c>
      <c r="N197">
        <v>1</v>
      </c>
      <c r="O197">
        <v>1</v>
      </c>
      <c r="P197">
        <v>0</v>
      </c>
      <c r="Q197" t="s">
        <v>51</v>
      </c>
      <c r="R197" t="s">
        <v>51</v>
      </c>
      <c r="S197">
        <v>0</v>
      </c>
      <c r="T197" t="s">
        <v>51</v>
      </c>
      <c r="U197" t="s">
        <v>51</v>
      </c>
      <c r="V197">
        <v>0</v>
      </c>
      <c r="W197" t="s">
        <v>51</v>
      </c>
      <c r="X197" t="s">
        <v>51</v>
      </c>
      <c r="Y197">
        <v>1</v>
      </c>
      <c r="Z197">
        <v>1</v>
      </c>
      <c r="AA197">
        <v>1</v>
      </c>
      <c r="AB197">
        <v>1</v>
      </c>
      <c r="AC197">
        <v>1</v>
      </c>
      <c r="AD197">
        <v>1</v>
      </c>
      <c r="AE197">
        <v>1</v>
      </c>
      <c r="AF197">
        <v>2</v>
      </c>
      <c r="AG197">
        <v>1</v>
      </c>
      <c r="AH197">
        <v>1</v>
      </c>
      <c r="AI197">
        <v>1</v>
      </c>
      <c r="AJ197">
        <v>1</v>
      </c>
      <c r="AK197">
        <v>1</v>
      </c>
      <c r="AL197">
        <v>1</v>
      </c>
      <c r="AM197">
        <v>1</v>
      </c>
      <c r="AN197">
        <v>1</v>
      </c>
      <c r="AO197">
        <v>1</v>
      </c>
      <c r="AP197">
        <v>1</v>
      </c>
      <c r="AQ197">
        <v>1</v>
      </c>
      <c r="AR197">
        <v>1</v>
      </c>
      <c r="AS197">
        <v>1</v>
      </c>
      <c r="AT197">
        <v>1</v>
      </c>
      <c r="AU197">
        <v>1</v>
      </c>
      <c r="AV197">
        <v>1</v>
      </c>
      <c r="AX197">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98" spans="1:50" s="21" customFormat="1" hidden="1">
      <c r="A198" s="21">
        <v>197</v>
      </c>
      <c r="B198" s="21" t="s">
        <v>289</v>
      </c>
      <c r="C198" s="22">
        <v>39011543</v>
      </c>
      <c r="D198" s="21" t="s">
        <v>110</v>
      </c>
      <c r="E198" s="21">
        <v>1</v>
      </c>
      <c r="F198" s="21">
        <v>1</v>
      </c>
      <c r="G198" s="21">
        <v>1</v>
      </c>
      <c r="H198" s="21">
        <v>3</v>
      </c>
      <c r="I198" s="21">
        <v>1</v>
      </c>
      <c r="J198" s="21">
        <v>1</v>
      </c>
      <c r="K198" s="21">
        <v>1</v>
      </c>
      <c r="L198" s="21">
        <v>1</v>
      </c>
      <c r="M198" s="21">
        <v>1</v>
      </c>
      <c r="N198" s="21">
        <v>1</v>
      </c>
      <c r="O198" s="21">
        <v>1</v>
      </c>
      <c r="P198" s="21">
        <v>0</v>
      </c>
      <c r="Q198" s="21" t="s">
        <v>51</v>
      </c>
      <c r="R198" s="21" t="s">
        <v>51</v>
      </c>
      <c r="S198" s="21">
        <v>1</v>
      </c>
      <c r="T198" s="21">
        <v>1</v>
      </c>
      <c r="U198" s="21">
        <v>2</v>
      </c>
      <c r="V198" s="21">
        <v>1</v>
      </c>
      <c r="W198" s="21">
        <v>1</v>
      </c>
      <c r="X198" s="21">
        <v>2</v>
      </c>
      <c r="Y198" s="21">
        <v>1</v>
      </c>
      <c r="Z198" s="21">
        <v>1</v>
      </c>
      <c r="AA198" s="21">
        <v>1</v>
      </c>
      <c r="AB198" s="21">
        <v>1</v>
      </c>
      <c r="AC198" s="21">
        <v>1</v>
      </c>
      <c r="AD198" s="21">
        <v>1</v>
      </c>
      <c r="AE198" s="21">
        <v>0</v>
      </c>
      <c r="AF198" s="21" t="s">
        <v>51</v>
      </c>
      <c r="AG198" s="21" t="s">
        <v>51</v>
      </c>
      <c r="AH198" s="21">
        <v>1</v>
      </c>
      <c r="AI198" s="21">
        <v>1</v>
      </c>
      <c r="AJ198" s="21">
        <v>1</v>
      </c>
      <c r="AK198" s="21">
        <v>1</v>
      </c>
      <c r="AL198" s="21">
        <v>1</v>
      </c>
      <c r="AM198" s="21">
        <v>1</v>
      </c>
      <c r="AN198" s="21">
        <v>0</v>
      </c>
      <c r="AO198" s="21" t="s">
        <v>51</v>
      </c>
      <c r="AP198" s="21" t="s">
        <v>51</v>
      </c>
      <c r="AQ198" s="21">
        <v>1</v>
      </c>
      <c r="AR198" s="21">
        <v>1</v>
      </c>
      <c r="AS198" s="21">
        <v>1</v>
      </c>
      <c r="AT198" s="21">
        <v>1</v>
      </c>
      <c r="AU198" s="21">
        <v>1</v>
      </c>
      <c r="AV198" s="21">
        <v>2</v>
      </c>
      <c r="AW198" s="21" t="s">
        <v>294</v>
      </c>
      <c r="AX198" s="21">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99" spans="1:50" s="16" customFormat="1">
      <c r="A199" s="16">
        <v>198</v>
      </c>
      <c r="B199" s="16" t="s">
        <v>289</v>
      </c>
      <c r="C199" s="17">
        <v>39091629</v>
      </c>
      <c r="D199" s="16" t="s">
        <v>295</v>
      </c>
      <c r="E199" s="16">
        <v>1</v>
      </c>
      <c r="F199" s="16">
        <v>0</v>
      </c>
      <c r="G199" s="16">
        <v>1</v>
      </c>
      <c r="H199" s="16">
        <v>1</v>
      </c>
      <c r="I199" s="16">
        <v>1</v>
      </c>
      <c r="J199" s="16">
        <v>1</v>
      </c>
      <c r="K199" s="16">
        <v>1</v>
      </c>
      <c r="L199" s="16">
        <v>1</v>
      </c>
      <c r="M199" s="16">
        <v>1</v>
      </c>
      <c r="N199" s="16">
        <v>1</v>
      </c>
      <c r="O199" s="16">
        <v>1</v>
      </c>
      <c r="P199" s="16">
        <v>1</v>
      </c>
      <c r="Q199" s="16">
        <v>1</v>
      </c>
      <c r="R199" s="16">
        <v>1</v>
      </c>
      <c r="S199" s="16">
        <v>0</v>
      </c>
      <c r="T199" s="16" t="s">
        <v>51</v>
      </c>
      <c r="U199" s="16" t="s">
        <v>51</v>
      </c>
      <c r="V199" s="16">
        <v>0</v>
      </c>
      <c r="W199" s="16" t="s">
        <v>51</v>
      </c>
      <c r="X199" s="19" t="s">
        <v>51</v>
      </c>
      <c r="Y199" s="16">
        <v>1</v>
      </c>
      <c r="Z199" s="16">
        <v>1</v>
      </c>
      <c r="AA199" s="16">
        <v>1</v>
      </c>
      <c r="AB199" s="16">
        <v>1</v>
      </c>
      <c r="AC199" s="16">
        <v>1</v>
      </c>
      <c r="AD199" s="16">
        <v>1</v>
      </c>
      <c r="AE199" s="16">
        <v>1</v>
      </c>
      <c r="AF199" s="16">
        <v>1</v>
      </c>
      <c r="AG199" s="16">
        <v>1</v>
      </c>
      <c r="AH199" s="16">
        <v>1</v>
      </c>
      <c r="AI199" s="16">
        <v>1</v>
      </c>
      <c r="AJ199" s="16">
        <v>1</v>
      </c>
      <c r="AK199" s="16">
        <v>1</v>
      </c>
      <c r="AL199" s="16">
        <v>1</v>
      </c>
      <c r="AM199" s="16">
        <v>1</v>
      </c>
      <c r="AN199" s="16">
        <v>1</v>
      </c>
      <c r="AO199" s="16">
        <v>1</v>
      </c>
      <c r="AP199" s="16">
        <v>1</v>
      </c>
      <c r="AQ199" s="16">
        <v>1</v>
      </c>
      <c r="AR199" s="16">
        <v>1</v>
      </c>
      <c r="AS199" s="16">
        <v>1</v>
      </c>
      <c r="AT199" s="16">
        <v>1</v>
      </c>
      <c r="AU199" s="16">
        <v>1</v>
      </c>
      <c r="AV199" s="16">
        <v>3</v>
      </c>
      <c r="AW199" s="19" t="s">
        <v>296</v>
      </c>
      <c r="AX199" s="19">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1</v>
      </c>
    </row>
    <row r="200" spans="1:50" hidden="1">
      <c r="A200">
        <v>199</v>
      </c>
      <c r="B200" t="s">
        <v>289</v>
      </c>
      <c r="C200" s="10">
        <v>39090083</v>
      </c>
      <c r="D200" t="s">
        <v>297</v>
      </c>
      <c r="E200">
        <v>1</v>
      </c>
      <c r="F200">
        <v>0</v>
      </c>
      <c r="G200">
        <v>1</v>
      </c>
      <c r="H200">
        <v>1</v>
      </c>
      <c r="I200">
        <v>1</v>
      </c>
      <c r="J200">
        <v>1</v>
      </c>
      <c r="K200">
        <v>1</v>
      </c>
      <c r="L200">
        <v>1</v>
      </c>
      <c r="M200">
        <v>1</v>
      </c>
      <c r="N200">
        <v>1</v>
      </c>
      <c r="O200">
        <v>1</v>
      </c>
      <c r="P200">
        <v>1</v>
      </c>
      <c r="Q200">
        <v>1</v>
      </c>
      <c r="R200">
        <v>1</v>
      </c>
      <c r="S200">
        <v>0</v>
      </c>
      <c r="T200" t="s">
        <v>51</v>
      </c>
      <c r="U200" t="s">
        <v>51</v>
      </c>
      <c r="V200">
        <v>0</v>
      </c>
      <c r="W200" t="s">
        <v>51</v>
      </c>
      <c r="X200" t="s">
        <v>51</v>
      </c>
      <c r="Y200">
        <v>1</v>
      </c>
      <c r="Z200">
        <v>1</v>
      </c>
      <c r="AA200">
        <v>1</v>
      </c>
      <c r="AB200">
        <v>1</v>
      </c>
      <c r="AC200">
        <v>1</v>
      </c>
      <c r="AD200">
        <v>1</v>
      </c>
      <c r="AE200">
        <v>1</v>
      </c>
      <c r="AF200">
        <v>1</v>
      </c>
      <c r="AG200">
        <v>1</v>
      </c>
      <c r="AH200">
        <v>1</v>
      </c>
      <c r="AI200">
        <v>1</v>
      </c>
      <c r="AJ200">
        <v>1</v>
      </c>
      <c r="AK200">
        <v>1</v>
      </c>
      <c r="AL200">
        <v>1</v>
      </c>
      <c r="AM200">
        <v>1</v>
      </c>
      <c r="AN200">
        <v>1</v>
      </c>
      <c r="AO200">
        <v>1</v>
      </c>
      <c r="AP200">
        <v>1</v>
      </c>
      <c r="AQ200">
        <v>1</v>
      </c>
      <c r="AR200">
        <v>1</v>
      </c>
      <c r="AS200">
        <v>1</v>
      </c>
      <c r="AT200">
        <v>1</v>
      </c>
      <c r="AU200">
        <v>1</v>
      </c>
      <c r="AV200">
        <v>1</v>
      </c>
      <c r="AX200">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201" spans="1:50" s="21" customFormat="1" hidden="1">
      <c r="A201" s="21">
        <v>200</v>
      </c>
      <c r="B201" s="21" t="s">
        <v>289</v>
      </c>
      <c r="C201" s="22">
        <v>38310241</v>
      </c>
      <c r="D201" s="21" t="s">
        <v>298</v>
      </c>
      <c r="E201" s="21">
        <v>2</v>
      </c>
      <c r="F201" s="21">
        <v>0</v>
      </c>
      <c r="G201" s="21">
        <v>1</v>
      </c>
      <c r="H201" s="21">
        <v>1</v>
      </c>
      <c r="I201" s="21">
        <v>1</v>
      </c>
      <c r="J201" s="21">
        <v>1</v>
      </c>
      <c r="K201" s="21">
        <v>1</v>
      </c>
      <c r="L201" s="21">
        <v>1</v>
      </c>
      <c r="M201" s="21">
        <v>1</v>
      </c>
      <c r="N201" s="21">
        <v>1</v>
      </c>
      <c r="O201" s="21">
        <v>1</v>
      </c>
      <c r="P201" s="21">
        <v>1</v>
      </c>
      <c r="Q201" s="21">
        <v>1</v>
      </c>
      <c r="R201" s="21">
        <v>1</v>
      </c>
      <c r="S201" s="21">
        <v>0</v>
      </c>
      <c r="T201" s="21" t="s">
        <v>51</v>
      </c>
      <c r="U201" s="21" t="s">
        <v>51</v>
      </c>
      <c r="V201" s="21">
        <v>0</v>
      </c>
      <c r="W201" s="21" t="s">
        <v>51</v>
      </c>
      <c r="X201" s="21" t="s">
        <v>51</v>
      </c>
      <c r="Y201" s="21">
        <v>1</v>
      </c>
      <c r="Z201" s="21">
        <v>2</v>
      </c>
      <c r="AA201" s="21">
        <v>1</v>
      </c>
      <c r="AB201" s="21">
        <v>1</v>
      </c>
      <c r="AC201" s="21">
        <v>1</v>
      </c>
      <c r="AD201" s="21">
        <v>1</v>
      </c>
      <c r="AE201" s="21">
        <v>1</v>
      </c>
      <c r="AF201" s="21">
        <v>2</v>
      </c>
      <c r="AG201" s="21">
        <v>1</v>
      </c>
      <c r="AH201" s="21">
        <v>1</v>
      </c>
      <c r="AI201" s="21">
        <v>1</v>
      </c>
      <c r="AJ201" s="21">
        <v>1</v>
      </c>
      <c r="AK201" s="21">
        <v>1</v>
      </c>
      <c r="AL201" s="21">
        <v>3</v>
      </c>
      <c r="AM201" s="21">
        <v>1</v>
      </c>
      <c r="AN201" s="21">
        <v>0</v>
      </c>
      <c r="AO201" s="21" t="s">
        <v>51</v>
      </c>
      <c r="AP201" s="21" t="s">
        <v>51</v>
      </c>
      <c r="AQ201" s="21">
        <v>1</v>
      </c>
      <c r="AR201" s="21">
        <v>1</v>
      </c>
      <c r="AS201" s="21">
        <v>1</v>
      </c>
      <c r="AT201" s="21">
        <v>1</v>
      </c>
      <c r="AU201" s="21">
        <v>1</v>
      </c>
      <c r="AV201" s="21">
        <v>1</v>
      </c>
      <c r="AX201" s="21">
        <f>IF(OR(Table1[[#This Row],[lesion_size_status_ai]]=3,Table1[[#This Row],[laterality_status_ai]]=3,Table1[[#This Row],[lesion_location_status_ai]]=3,Table1[[#This Row],[calcifications_asymmetry_status_ai]]=3,Table1[[#This Row],[additional_enhancement_mri_status_ai]]=3,Table1[[#This Row],[extent_status_ai]]=3,Table1[[#This Row],[accurate_clip_placement_status_ai]]=3,Table1[[#This Row],[workup_recommendation_status_ai]]=3,Table1[[#This Row],[Lymph node_status_ai]]=3,Table1[[#This Row],[chronology_preserved_status_ai]]=3,Table1[[#This Row],[biopsy_method_status_ai]]=3,Table1[[#This Row],[invasive_component_size_pathology_status_ai]]=3,Table1[[#This Row],[histologic_diagnosis_status_ai]]=3,Table1[[#This Row],[receptor_status_ai]]=3),1,0)</f>
        <v>0</v>
      </c>
    </row>
    <row r="1048560"/>
    <row r="1048561"/>
  </sheetData>
  <autoFilter ref="H206" xr:uid="{584C148A-6371-4CFD-B431-759359210B44}"/>
  <pageMargins left="0.7" right="0.7" top="0.75" bottom="0.75" header="0.3" footer="0.3"/>
  <pageSetup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ACB31-F8FD-4FD6-AF7F-C1659D389988}">
  <dimension ref="A1:A26"/>
  <sheetViews>
    <sheetView workbookViewId="0">
      <selection activeCell="A28" sqref="A28"/>
    </sheetView>
  </sheetViews>
  <sheetFormatPr baseColWidth="10" defaultColWidth="8.83203125" defaultRowHeight="15"/>
  <sheetData>
    <row r="1" spans="1:1" ht="19">
      <c r="A1" s="1" t="s">
        <v>299</v>
      </c>
    </row>
    <row r="3" spans="1:1" ht="16">
      <c r="A3" s="2" t="s">
        <v>300</v>
      </c>
    </row>
    <row r="4" spans="1:1">
      <c r="A4" s="3"/>
    </row>
    <row r="5" spans="1:1">
      <c r="A5" s="4" t="s">
        <v>301</v>
      </c>
    </row>
    <row r="6" spans="1:1">
      <c r="A6" s="3"/>
    </row>
    <row r="7" spans="1:1">
      <c r="A7" s="4" t="s">
        <v>302</v>
      </c>
    </row>
    <row r="9" spans="1:1" ht="16">
      <c r="A9" s="2" t="s">
        <v>303</v>
      </c>
    </row>
    <row r="10" spans="1:1">
      <c r="A10" s="3"/>
    </row>
    <row r="11" spans="1:1">
      <c r="A11" s="4" t="s">
        <v>304</v>
      </c>
    </row>
    <row r="12" spans="1:1">
      <c r="A12" s="3"/>
    </row>
    <row r="13" spans="1:1">
      <c r="A13" s="5" t="s">
        <v>305</v>
      </c>
    </row>
    <row r="14" spans="1:1">
      <c r="A14" s="3"/>
    </row>
    <row r="15" spans="1:1">
      <c r="A15" s="4" t="s">
        <v>306</v>
      </c>
    </row>
    <row r="16" spans="1:1">
      <c r="A16" s="3"/>
    </row>
    <row r="17" spans="1:1">
      <c r="A17" s="4" t="s">
        <v>307</v>
      </c>
    </row>
    <row r="19" spans="1:1" ht="16">
      <c r="A19" s="2" t="s">
        <v>308</v>
      </c>
    </row>
    <row r="22" spans="1:1">
      <c r="A22" t="s">
        <v>309</v>
      </c>
    </row>
    <row r="23" spans="1:1">
      <c r="A23" t="s">
        <v>310</v>
      </c>
    </row>
    <row r="24" spans="1:1">
      <c r="A24" t="s">
        <v>311</v>
      </c>
    </row>
    <row r="25" spans="1:1">
      <c r="A25" t="s">
        <v>312</v>
      </c>
    </row>
    <row r="26" spans="1:1">
      <c r="A26" t="s">
        <v>313</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16547-0C98-BA44-8A38-0CCCDEC3C827}">
  <dimension ref="A1:AX16"/>
  <sheetViews>
    <sheetView tabSelected="1" zoomScale="150" zoomScaleNormal="150" workbookViewId="0">
      <pane xSplit="4" topLeftCell="AX1" activePane="topRight" state="frozen"/>
      <selection pane="topRight" activeCell="C16" sqref="C16"/>
    </sheetView>
  </sheetViews>
  <sheetFormatPr baseColWidth="10" defaultRowHeight="15"/>
  <cols>
    <col min="2" max="2" width="16.33203125" bestFit="1" customWidth="1"/>
    <col min="3" max="3" width="9.1640625" bestFit="1" customWidth="1"/>
    <col min="4" max="4" width="15.33203125" bestFit="1" customWidth="1"/>
    <col min="5" max="5" width="19.5" bestFit="1" customWidth="1"/>
    <col min="6" max="6" width="20.1640625" bestFit="1" customWidth="1"/>
    <col min="7" max="8" width="24.1640625" bestFit="1" customWidth="1"/>
    <col min="9" max="9" width="20" bestFit="1" customWidth="1"/>
    <col min="10" max="11" width="22.33203125" bestFit="1" customWidth="1"/>
    <col min="12" max="12" width="18.1640625" bestFit="1" customWidth="1"/>
    <col min="13" max="14" width="27.33203125" bestFit="1" customWidth="1"/>
    <col min="15" max="15" width="23.1640625" bestFit="1" customWidth="1"/>
    <col min="16" max="17" width="35.33203125" bestFit="1" customWidth="1"/>
    <col min="18" max="18" width="31.1640625" bestFit="1" customWidth="1"/>
    <col min="19" max="20" width="38.5" bestFit="1" customWidth="1"/>
    <col min="21" max="21" width="34.5" bestFit="1" customWidth="1"/>
    <col min="22" max="23" width="20.5" bestFit="1" customWidth="1"/>
    <col min="24" max="24" width="16.33203125" bestFit="1" customWidth="1"/>
    <col min="25" max="26" width="35" bestFit="1" customWidth="1"/>
    <col min="27" max="27" width="30.83203125" bestFit="1" customWidth="1"/>
    <col min="28" max="29" width="35.6640625" bestFit="1" customWidth="1"/>
    <col min="30" max="30" width="31.5" bestFit="1" customWidth="1"/>
    <col min="31" max="32" width="25" bestFit="1" customWidth="1"/>
    <col min="33" max="33" width="20.83203125" bestFit="1" customWidth="1"/>
    <col min="34" max="35" width="33" bestFit="1" customWidth="1"/>
    <col min="36" max="36" width="28.83203125" bestFit="1" customWidth="1"/>
    <col min="37" max="38" width="27.5" bestFit="1" customWidth="1"/>
    <col min="39" max="39" width="23.33203125" bestFit="1" customWidth="1"/>
    <col min="40" max="41" width="44.1640625" bestFit="1" customWidth="1"/>
    <col min="42" max="42" width="40.1640625" bestFit="1" customWidth="1"/>
    <col min="43" max="44" width="31.33203125" bestFit="1" customWidth="1"/>
    <col min="45" max="45" width="27.1640625" bestFit="1" customWidth="1"/>
    <col min="46" max="47" width="22.1640625" bestFit="1" customWidth="1"/>
    <col min="48" max="48" width="18" bestFit="1" customWidth="1"/>
    <col min="49" max="49" width="18" customWidth="1"/>
    <col min="50" max="50" width="182.5" bestFit="1" customWidth="1"/>
  </cols>
  <sheetData>
    <row r="1" spans="1:50">
      <c r="A1" s="25"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5" t="s">
        <v>18</v>
      </c>
      <c r="T1" s="25" t="s">
        <v>19</v>
      </c>
      <c r="U1" s="25" t="s">
        <v>20</v>
      </c>
      <c r="V1" s="25" t="s">
        <v>21</v>
      </c>
      <c r="W1" s="25" t="s">
        <v>22</v>
      </c>
      <c r="X1" s="25" t="s">
        <v>23</v>
      </c>
      <c r="Y1" s="25" t="s">
        <v>24</v>
      </c>
      <c r="Z1" s="25" t="s">
        <v>25</v>
      </c>
      <c r="AA1" s="25" t="s">
        <v>26</v>
      </c>
      <c r="AB1" s="25" t="s">
        <v>27</v>
      </c>
      <c r="AC1" s="25" t="s">
        <v>28</v>
      </c>
      <c r="AD1" s="25" t="s">
        <v>29</v>
      </c>
      <c r="AE1" s="25" t="s">
        <v>30</v>
      </c>
      <c r="AF1" s="25" t="s">
        <v>31</v>
      </c>
      <c r="AG1" s="25" t="s">
        <v>32</v>
      </c>
      <c r="AH1" s="25" t="s">
        <v>33</v>
      </c>
      <c r="AI1" s="25" t="s">
        <v>34</v>
      </c>
      <c r="AJ1" s="25" t="s">
        <v>35</v>
      </c>
      <c r="AK1" s="25" t="s">
        <v>36</v>
      </c>
      <c r="AL1" s="25" t="s">
        <v>37</v>
      </c>
      <c r="AM1" s="25" t="s">
        <v>38</v>
      </c>
      <c r="AN1" s="25" t="s">
        <v>39</v>
      </c>
      <c r="AO1" s="25" t="s">
        <v>40</v>
      </c>
      <c r="AP1" s="25" t="s">
        <v>41</v>
      </c>
      <c r="AQ1" s="25" t="s">
        <v>42</v>
      </c>
      <c r="AR1" s="25" t="s">
        <v>43</v>
      </c>
      <c r="AS1" s="25" t="s">
        <v>44</v>
      </c>
      <c r="AT1" s="25" t="s">
        <v>45</v>
      </c>
      <c r="AU1" s="25" t="s">
        <v>46</v>
      </c>
      <c r="AV1" s="25" t="s">
        <v>47</v>
      </c>
      <c r="AW1" s="25" t="s">
        <v>380</v>
      </c>
      <c r="AX1" s="25" t="s">
        <v>48</v>
      </c>
    </row>
    <row r="2" spans="1:50">
      <c r="A2">
        <v>12</v>
      </c>
      <c r="B2" t="s">
        <v>64</v>
      </c>
      <c r="C2">
        <v>39105473</v>
      </c>
      <c r="D2" t="s">
        <v>67</v>
      </c>
      <c r="E2">
        <v>2</v>
      </c>
      <c r="F2">
        <v>0</v>
      </c>
      <c r="G2">
        <v>1</v>
      </c>
      <c r="H2">
        <v>1</v>
      </c>
      <c r="I2">
        <v>1</v>
      </c>
      <c r="J2">
        <v>1</v>
      </c>
      <c r="K2">
        <v>1</v>
      </c>
      <c r="L2">
        <v>1</v>
      </c>
      <c r="M2">
        <v>1</v>
      </c>
      <c r="N2">
        <v>1</v>
      </c>
      <c r="O2">
        <v>1</v>
      </c>
      <c r="P2">
        <v>1</v>
      </c>
      <c r="Q2">
        <v>1</v>
      </c>
      <c r="R2">
        <v>1</v>
      </c>
      <c r="S2">
        <v>1</v>
      </c>
      <c r="T2">
        <v>1</v>
      </c>
      <c r="U2">
        <v>1</v>
      </c>
      <c r="V2">
        <v>0</v>
      </c>
      <c r="W2" t="s">
        <v>51</v>
      </c>
      <c r="X2" t="s">
        <v>51</v>
      </c>
      <c r="Y2">
        <v>1</v>
      </c>
      <c r="Z2">
        <v>1</v>
      </c>
      <c r="AA2">
        <v>3</v>
      </c>
      <c r="AB2">
        <v>1</v>
      </c>
      <c r="AC2">
        <v>1</v>
      </c>
      <c r="AD2">
        <v>1</v>
      </c>
      <c r="AE2">
        <v>1</v>
      </c>
      <c r="AF2">
        <v>1</v>
      </c>
      <c r="AG2">
        <v>1</v>
      </c>
      <c r="AH2">
        <v>1</v>
      </c>
      <c r="AI2">
        <v>1</v>
      </c>
      <c r="AJ2">
        <v>1</v>
      </c>
      <c r="AK2">
        <v>1</v>
      </c>
      <c r="AL2">
        <v>1</v>
      </c>
      <c r="AM2">
        <v>1</v>
      </c>
      <c r="AN2">
        <v>0</v>
      </c>
      <c r="AO2" t="s">
        <v>51</v>
      </c>
      <c r="AP2" t="s">
        <v>51</v>
      </c>
      <c r="AQ2">
        <v>1</v>
      </c>
      <c r="AR2">
        <v>1</v>
      </c>
      <c r="AS2">
        <v>1</v>
      </c>
      <c r="AT2">
        <v>1</v>
      </c>
      <c r="AU2">
        <v>1</v>
      </c>
      <c r="AV2">
        <v>1</v>
      </c>
      <c r="AW2" t="s">
        <v>378</v>
      </c>
      <c r="AX2" t="s">
        <v>68</v>
      </c>
    </row>
    <row r="3" spans="1:50">
      <c r="A3">
        <v>31</v>
      </c>
      <c r="B3" t="s">
        <v>95</v>
      </c>
      <c r="C3">
        <v>38138814</v>
      </c>
      <c r="D3" t="s">
        <v>96</v>
      </c>
      <c r="E3">
        <v>1</v>
      </c>
      <c r="F3">
        <v>1</v>
      </c>
      <c r="G3">
        <v>1</v>
      </c>
      <c r="H3">
        <v>1</v>
      </c>
      <c r="I3">
        <v>1</v>
      </c>
      <c r="J3">
        <v>1</v>
      </c>
      <c r="K3">
        <v>1</v>
      </c>
      <c r="L3">
        <v>1</v>
      </c>
      <c r="M3">
        <v>1</v>
      </c>
      <c r="N3">
        <v>1</v>
      </c>
      <c r="O3">
        <v>1</v>
      </c>
      <c r="P3">
        <v>0</v>
      </c>
      <c r="Q3" t="s">
        <v>51</v>
      </c>
      <c r="R3" t="s">
        <v>51</v>
      </c>
      <c r="S3">
        <v>0</v>
      </c>
      <c r="T3" t="s">
        <v>51</v>
      </c>
      <c r="U3" t="s">
        <v>51</v>
      </c>
      <c r="V3">
        <v>1</v>
      </c>
      <c r="W3">
        <v>2</v>
      </c>
      <c r="X3">
        <v>1</v>
      </c>
      <c r="Y3">
        <v>1</v>
      </c>
      <c r="Z3">
        <v>2</v>
      </c>
      <c r="AA3">
        <v>1</v>
      </c>
      <c r="AB3">
        <v>0</v>
      </c>
      <c r="AC3" t="s">
        <v>51</v>
      </c>
      <c r="AD3" t="s">
        <v>51</v>
      </c>
      <c r="AE3">
        <v>0</v>
      </c>
      <c r="AF3" t="s">
        <v>51</v>
      </c>
      <c r="AG3" t="s">
        <v>51</v>
      </c>
      <c r="AH3">
        <v>1</v>
      </c>
      <c r="AI3">
        <v>1</v>
      </c>
      <c r="AJ3">
        <v>1</v>
      </c>
      <c r="AK3">
        <v>1</v>
      </c>
      <c r="AL3">
        <v>1</v>
      </c>
      <c r="AM3">
        <v>1</v>
      </c>
      <c r="AN3">
        <v>1</v>
      </c>
      <c r="AO3">
        <v>1</v>
      </c>
      <c r="AP3">
        <v>1</v>
      </c>
      <c r="AQ3">
        <v>1</v>
      </c>
      <c r="AR3">
        <v>1</v>
      </c>
      <c r="AS3">
        <v>3</v>
      </c>
      <c r="AT3">
        <v>1</v>
      </c>
      <c r="AU3">
        <v>2</v>
      </c>
      <c r="AV3">
        <v>1</v>
      </c>
      <c r="AW3" t="s">
        <v>378</v>
      </c>
      <c r="AX3" t="s">
        <v>97</v>
      </c>
    </row>
    <row r="4" spans="1:50">
      <c r="A4">
        <v>62</v>
      </c>
      <c r="B4" t="s">
        <v>144</v>
      </c>
      <c r="C4">
        <v>39106459</v>
      </c>
      <c r="D4" t="s">
        <v>145</v>
      </c>
      <c r="E4">
        <v>2</v>
      </c>
      <c r="F4">
        <v>0</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3</v>
      </c>
      <c r="AE4">
        <v>1</v>
      </c>
      <c r="AF4">
        <v>1</v>
      </c>
      <c r="AG4">
        <v>1</v>
      </c>
      <c r="AH4">
        <v>1</v>
      </c>
      <c r="AI4">
        <v>1</v>
      </c>
      <c r="AJ4">
        <v>1</v>
      </c>
      <c r="AK4">
        <v>1</v>
      </c>
      <c r="AL4">
        <v>1</v>
      </c>
      <c r="AM4">
        <v>1</v>
      </c>
      <c r="AN4">
        <v>0</v>
      </c>
      <c r="AO4" t="s">
        <v>51</v>
      </c>
      <c r="AP4" t="s">
        <v>51</v>
      </c>
      <c r="AQ4">
        <v>1</v>
      </c>
      <c r="AR4">
        <v>1</v>
      </c>
      <c r="AS4">
        <v>1</v>
      </c>
      <c r="AT4">
        <v>1</v>
      </c>
      <c r="AU4">
        <v>1</v>
      </c>
      <c r="AV4">
        <v>1</v>
      </c>
      <c r="AW4" t="s">
        <v>378</v>
      </c>
      <c r="AX4" t="s">
        <v>146</v>
      </c>
    </row>
    <row r="5" spans="1:50">
      <c r="A5">
        <v>63</v>
      </c>
      <c r="B5" t="s">
        <v>144</v>
      </c>
      <c r="C5">
        <v>39103258</v>
      </c>
      <c r="D5" t="s">
        <v>147</v>
      </c>
      <c r="E5">
        <v>2</v>
      </c>
      <c r="F5">
        <v>0</v>
      </c>
      <c r="G5">
        <v>1</v>
      </c>
      <c r="H5">
        <v>1</v>
      </c>
      <c r="I5">
        <v>1</v>
      </c>
      <c r="J5">
        <v>1</v>
      </c>
      <c r="K5">
        <v>1</v>
      </c>
      <c r="L5">
        <v>1</v>
      </c>
      <c r="M5">
        <v>1</v>
      </c>
      <c r="N5">
        <v>1</v>
      </c>
      <c r="O5">
        <v>1</v>
      </c>
      <c r="P5">
        <v>1</v>
      </c>
      <c r="Q5">
        <v>1</v>
      </c>
      <c r="R5">
        <v>1</v>
      </c>
      <c r="S5">
        <v>0</v>
      </c>
      <c r="T5" t="s">
        <v>51</v>
      </c>
      <c r="U5" t="s">
        <v>51</v>
      </c>
      <c r="V5">
        <v>1</v>
      </c>
      <c r="W5">
        <v>1</v>
      </c>
      <c r="X5">
        <v>3</v>
      </c>
      <c r="Y5">
        <v>1</v>
      </c>
      <c r="Z5">
        <v>1</v>
      </c>
      <c r="AA5">
        <v>1</v>
      </c>
      <c r="AB5">
        <v>1</v>
      </c>
      <c r="AC5">
        <v>1</v>
      </c>
      <c r="AD5">
        <v>1</v>
      </c>
      <c r="AE5">
        <v>1</v>
      </c>
      <c r="AF5">
        <v>1</v>
      </c>
      <c r="AG5">
        <v>1</v>
      </c>
      <c r="AH5">
        <v>1</v>
      </c>
      <c r="AI5">
        <v>1</v>
      </c>
      <c r="AJ5">
        <v>1</v>
      </c>
      <c r="AK5">
        <v>1</v>
      </c>
      <c r="AL5">
        <v>1</v>
      </c>
      <c r="AM5">
        <v>1</v>
      </c>
      <c r="AN5">
        <v>0</v>
      </c>
      <c r="AO5" t="s">
        <v>51</v>
      </c>
      <c r="AP5" t="s">
        <v>51</v>
      </c>
      <c r="AQ5">
        <v>1</v>
      </c>
      <c r="AR5">
        <v>1</v>
      </c>
      <c r="AS5">
        <v>1</v>
      </c>
      <c r="AT5">
        <v>0</v>
      </c>
      <c r="AU5" t="s">
        <v>51</v>
      </c>
      <c r="AV5" t="s">
        <v>51</v>
      </c>
      <c r="AW5" t="s">
        <v>378</v>
      </c>
      <c r="AX5" t="s">
        <v>148</v>
      </c>
    </row>
    <row r="6" spans="1:50">
      <c r="A6">
        <v>66</v>
      </c>
      <c r="B6" t="s">
        <v>144</v>
      </c>
      <c r="C6">
        <v>39111396</v>
      </c>
      <c r="D6" t="s">
        <v>136</v>
      </c>
      <c r="E6">
        <v>1</v>
      </c>
      <c r="F6">
        <v>0</v>
      </c>
      <c r="G6">
        <v>1</v>
      </c>
      <c r="H6">
        <v>1</v>
      </c>
      <c r="I6">
        <v>3</v>
      </c>
      <c r="J6">
        <v>1</v>
      </c>
      <c r="K6">
        <v>1</v>
      </c>
      <c r="L6">
        <v>1</v>
      </c>
      <c r="M6">
        <v>1</v>
      </c>
      <c r="N6">
        <v>1</v>
      </c>
      <c r="O6">
        <v>1</v>
      </c>
      <c r="P6">
        <v>0</v>
      </c>
      <c r="Q6" t="s">
        <v>51</v>
      </c>
      <c r="R6" t="s">
        <v>51</v>
      </c>
      <c r="S6">
        <v>0</v>
      </c>
      <c r="T6" t="s">
        <v>51</v>
      </c>
      <c r="U6" t="s">
        <v>51</v>
      </c>
      <c r="V6">
        <v>0</v>
      </c>
      <c r="W6" t="s">
        <v>51</v>
      </c>
      <c r="X6" t="s">
        <v>51</v>
      </c>
      <c r="Y6">
        <v>1</v>
      </c>
      <c r="Z6">
        <v>1</v>
      </c>
      <c r="AA6">
        <v>1</v>
      </c>
      <c r="AB6">
        <v>1</v>
      </c>
      <c r="AC6">
        <v>2</v>
      </c>
      <c r="AD6">
        <v>1</v>
      </c>
      <c r="AE6">
        <v>1</v>
      </c>
      <c r="AF6">
        <v>1</v>
      </c>
      <c r="AG6">
        <v>1</v>
      </c>
      <c r="AH6">
        <v>1</v>
      </c>
      <c r="AI6">
        <v>1</v>
      </c>
      <c r="AJ6">
        <v>1</v>
      </c>
      <c r="AK6">
        <v>1</v>
      </c>
      <c r="AL6">
        <v>1</v>
      </c>
      <c r="AM6">
        <v>1</v>
      </c>
      <c r="AN6">
        <v>1</v>
      </c>
      <c r="AO6">
        <v>2</v>
      </c>
      <c r="AP6">
        <v>1</v>
      </c>
      <c r="AQ6">
        <v>1</v>
      </c>
      <c r="AR6">
        <v>1</v>
      </c>
      <c r="AS6">
        <v>1</v>
      </c>
      <c r="AT6">
        <v>1</v>
      </c>
      <c r="AU6">
        <v>1</v>
      </c>
      <c r="AV6">
        <v>1</v>
      </c>
      <c r="AW6" t="s">
        <v>379</v>
      </c>
      <c r="AX6" t="s">
        <v>150</v>
      </c>
    </row>
    <row r="7" spans="1:50">
      <c r="A7">
        <v>70</v>
      </c>
      <c r="B7" t="s">
        <v>144</v>
      </c>
      <c r="C7">
        <v>39100321</v>
      </c>
      <c r="D7" t="s">
        <v>124</v>
      </c>
      <c r="E7">
        <v>1</v>
      </c>
      <c r="F7">
        <v>1</v>
      </c>
      <c r="G7">
        <v>1</v>
      </c>
      <c r="H7">
        <v>1</v>
      </c>
      <c r="I7">
        <v>3</v>
      </c>
      <c r="J7">
        <v>1</v>
      </c>
      <c r="K7">
        <v>1</v>
      </c>
      <c r="L7">
        <v>1</v>
      </c>
      <c r="M7">
        <v>1</v>
      </c>
      <c r="N7">
        <v>1</v>
      </c>
      <c r="O7">
        <v>1</v>
      </c>
      <c r="P7">
        <v>1</v>
      </c>
      <c r="Q7">
        <v>1</v>
      </c>
      <c r="R7">
        <v>1</v>
      </c>
      <c r="S7">
        <v>1</v>
      </c>
      <c r="T7">
        <v>1</v>
      </c>
      <c r="U7">
        <v>2</v>
      </c>
      <c r="V7">
        <v>1</v>
      </c>
      <c r="W7">
        <v>1</v>
      </c>
      <c r="X7">
        <v>1</v>
      </c>
      <c r="Y7">
        <v>1</v>
      </c>
      <c r="Z7">
        <v>1</v>
      </c>
      <c r="AA7">
        <v>1</v>
      </c>
      <c r="AB7">
        <v>1</v>
      </c>
      <c r="AC7">
        <v>1</v>
      </c>
      <c r="AD7">
        <v>3</v>
      </c>
      <c r="AE7">
        <v>1</v>
      </c>
      <c r="AF7">
        <v>1</v>
      </c>
      <c r="AG7">
        <v>1</v>
      </c>
      <c r="AH7">
        <v>1</v>
      </c>
      <c r="AI7">
        <v>1</v>
      </c>
      <c r="AJ7">
        <v>1</v>
      </c>
      <c r="AK7">
        <v>1</v>
      </c>
      <c r="AL7">
        <v>1</v>
      </c>
      <c r="AM7">
        <v>1</v>
      </c>
      <c r="AN7">
        <v>0</v>
      </c>
      <c r="AO7" t="s">
        <v>51</v>
      </c>
      <c r="AP7" t="s">
        <v>51</v>
      </c>
      <c r="AQ7">
        <v>1</v>
      </c>
      <c r="AR7">
        <v>1</v>
      </c>
      <c r="AS7">
        <v>1</v>
      </c>
      <c r="AT7">
        <v>1</v>
      </c>
      <c r="AU7">
        <v>1</v>
      </c>
      <c r="AV7">
        <v>1</v>
      </c>
      <c r="AX7" t="s">
        <v>155</v>
      </c>
    </row>
    <row r="8" spans="1:50">
      <c r="A8">
        <v>94</v>
      </c>
      <c r="B8" t="s">
        <v>177</v>
      </c>
      <c r="C8">
        <v>39095007</v>
      </c>
      <c r="D8" t="s">
        <v>184</v>
      </c>
      <c r="E8">
        <v>1</v>
      </c>
      <c r="F8">
        <v>0</v>
      </c>
      <c r="G8">
        <v>1</v>
      </c>
      <c r="H8">
        <v>1</v>
      </c>
      <c r="I8">
        <v>3</v>
      </c>
      <c r="J8">
        <v>1</v>
      </c>
      <c r="K8">
        <v>1</v>
      </c>
      <c r="L8">
        <v>1</v>
      </c>
      <c r="M8">
        <v>1</v>
      </c>
      <c r="N8">
        <v>1</v>
      </c>
      <c r="O8">
        <v>1</v>
      </c>
      <c r="P8">
        <v>1</v>
      </c>
      <c r="Q8">
        <v>1</v>
      </c>
      <c r="R8">
        <v>1</v>
      </c>
      <c r="S8">
        <v>0</v>
      </c>
      <c r="T8" t="s">
        <v>70</v>
      </c>
      <c r="U8" t="s">
        <v>70</v>
      </c>
      <c r="V8">
        <v>0</v>
      </c>
      <c r="W8" t="s">
        <v>70</v>
      </c>
      <c r="X8" t="s">
        <v>70</v>
      </c>
      <c r="Y8">
        <v>1</v>
      </c>
      <c r="Z8">
        <v>1</v>
      </c>
      <c r="AA8">
        <v>1</v>
      </c>
      <c r="AB8">
        <v>1</v>
      </c>
      <c r="AC8">
        <v>1</v>
      </c>
      <c r="AD8">
        <v>1</v>
      </c>
      <c r="AE8">
        <v>0</v>
      </c>
      <c r="AF8" t="s">
        <v>70</v>
      </c>
      <c r="AG8" t="s">
        <v>70</v>
      </c>
      <c r="AH8">
        <v>1</v>
      </c>
      <c r="AI8">
        <v>1</v>
      </c>
      <c r="AJ8">
        <v>1</v>
      </c>
      <c r="AK8">
        <v>1</v>
      </c>
      <c r="AL8">
        <v>1</v>
      </c>
      <c r="AM8">
        <v>1</v>
      </c>
      <c r="AN8">
        <v>1</v>
      </c>
      <c r="AO8">
        <v>2</v>
      </c>
      <c r="AP8">
        <v>1</v>
      </c>
      <c r="AQ8">
        <v>1</v>
      </c>
      <c r="AR8">
        <v>1</v>
      </c>
      <c r="AS8">
        <v>1</v>
      </c>
      <c r="AT8">
        <v>1</v>
      </c>
      <c r="AU8">
        <v>1</v>
      </c>
      <c r="AV8">
        <v>2</v>
      </c>
      <c r="AX8" t="s">
        <v>185</v>
      </c>
    </row>
    <row r="9" spans="1:50">
      <c r="A9">
        <v>103</v>
      </c>
      <c r="B9" t="s">
        <v>189</v>
      </c>
      <c r="C9">
        <v>39100822</v>
      </c>
      <c r="D9" t="s">
        <v>194</v>
      </c>
      <c r="E9">
        <v>1</v>
      </c>
      <c r="F9">
        <v>0</v>
      </c>
      <c r="G9">
        <v>1</v>
      </c>
      <c r="H9">
        <v>1</v>
      </c>
      <c r="I9">
        <v>3</v>
      </c>
      <c r="J9">
        <v>1</v>
      </c>
      <c r="K9">
        <v>1</v>
      </c>
      <c r="L9">
        <v>1</v>
      </c>
      <c r="M9">
        <v>1</v>
      </c>
      <c r="N9">
        <v>1</v>
      </c>
      <c r="O9">
        <v>1</v>
      </c>
      <c r="P9">
        <v>1</v>
      </c>
      <c r="Q9">
        <v>1</v>
      </c>
      <c r="R9">
        <v>1</v>
      </c>
      <c r="S9">
        <v>1</v>
      </c>
      <c r="T9">
        <v>1</v>
      </c>
      <c r="U9">
        <v>1</v>
      </c>
      <c r="V9">
        <v>1</v>
      </c>
      <c r="W9">
        <v>1</v>
      </c>
      <c r="X9">
        <v>1</v>
      </c>
      <c r="Y9">
        <v>1</v>
      </c>
      <c r="Z9">
        <v>1</v>
      </c>
      <c r="AA9">
        <v>1</v>
      </c>
      <c r="AB9">
        <v>1</v>
      </c>
      <c r="AC9">
        <v>1</v>
      </c>
      <c r="AD9">
        <v>1</v>
      </c>
      <c r="AE9">
        <v>1</v>
      </c>
      <c r="AF9">
        <v>1</v>
      </c>
      <c r="AG9">
        <v>2</v>
      </c>
      <c r="AH9">
        <v>1</v>
      </c>
      <c r="AI9">
        <v>1</v>
      </c>
      <c r="AJ9">
        <v>1</v>
      </c>
      <c r="AK9">
        <v>1</v>
      </c>
      <c r="AL9">
        <v>1</v>
      </c>
      <c r="AM9">
        <v>1</v>
      </c>
      <c r="AN9">
        <v>1</v>
      </c>
      <c r="AO9">
        <v>1</v>
      </c>
      <c r="AP9">
        <v>1</v>
      </c>
      <c r="AQ9">
        <v>1</v>
      </c>
      <c r="AR9">
        <v>1</v>
      </c>
      <c r="AS9">
        <v>1</v>
      </c>
      <c r="AT9">
        <v>1</v>
      </c>
      <c r="AU9">
        <v>1</v>
      </c>
      <c r="AV9">
        <v>1</v>
      </c>
      <c r="AX9" t="s">
        <v>195</v>
      </c>
    </row>
    <row r="10" spans="1:50">
      <c r="A10">
        <v>117</v>
      </c>
      <c r="B10" t="s">
        <v>202</v>
      </c>
      <c r="C10">
        <v>39094834</v>
      </c>
      <c r="D10" t="s">
        <v>209</v>
      </c>
      <c r="E10">
        <v>1</v>
      </c>
      <c r="F10">
        <v>0</v>
      </c>
      <c r="G10">
        <v>1</v>
      </c>
      <c r="H10">
        <v>1</v>
      </c>
      <c r="I10">
        <v>1</v>
      </c>
      <c r="J10">
        <v>1</v>
      </c>
      <c r="K10">
        <v>1</v>
      </c>
      <c r="L10">
        <v>1</v>
      </c>
      <c r="M10">
        <v>1</v>
      </c>
      <c r="N10">
        <v>1</v>
      </c>
      <c r="O10">
        <v>1</v>
      </c>
      <c r="P10">
        <v>1</v>
      </c>
      <c r="Q10">
        <v>1</v>
      </c>
      <c r="R10">
        <v>1</v>
      </c>
      <c r="S10">
        <v>0</v>
      </c>
      <c r="T10" t="s">
        <v>70</v>
      </c>
      <c r="U10" t="s">
        <v>70</v>
      </c>
      <c r="V10">
        <v>0</v>
      </c>
      <c r="W10" t="s">
        <v>70</v>
      </c>
      <c r="X10" t="s">
        <v>70</v>
      </c>
      <c r="Y10">
        <v>1</v>
      </c>
      <c r="Z10">
        <v>1</v>
      </c>
      <c r="AA10">
        <v>1</v>
      </c>
      <c r="AB10">
        <v>1</v>
      </c>
      <c r="AC10">
        <v>1</v>
      </c>
      <c r="AD10">
        <v>1</v>
      </c>
      <c r="AE10">
        <v>1</v>
      </c>
      <c r="AF10">
        <v>2</v>
      </c>
      <c r="AG10">
        <v>1</v>
      </c>
      <c r="AH10">
        <v>1</v>
      </c>
      <c r="AI10">
        <v>1</v>
      </c>
      <c r="AJ10">
        <v>1</v>
      </c>
      <c r="AK10">
        <v>1</v>
      </c>
      <c r="AL10">
        <v>1</v>
      </c>
      <c r="AM10">
        <v>1</v>
      </c>
      <c r="AN10">
        <v>1</v>
      </c>
      <c r="AO10">
        <v>2</v>
      </c>
      <c r="AP10">
        <v>3</v>
      </c>
      <c r="AQ10">
        <v>1</v>
      </c>
      <c r="AR10">
        <v>1</v>
      </c>
      <c r="AS10">
        <v>1</v>
      </c>
      <c r="AT10">
        <v>1</v>
      </c>
      <c r="AU10">
        <v>1</v>
      </c>
      <c r="AV10">
        <v>1</v>
      </c>
      <c r="AX10" t="s">
        <v>210</v>
      </c>
    </row>
    <row r="11" spans="1:50">
      <c r="A11">
        <v>134</v>
      </c>
      <c r="B11" t="s">
        <v>225</v>
      </c>
      <c r="C11">
        <v>39092180</v>
      </c>
      <c r="D11" t="s">
        <v>229</v>
      </c>
      <c r="E11">
        <v>1</v>
      </c>
      <c r="F11">
        <v>0</v>
      </c>
      <c r="G11">
        <v>1</v>
      </c>
      <c r="H11">
        <v>1</v>
      </c>
      <c r="I11">
        <v>1</v>
      </c>
      <c r="J11">
        <v>1</v>
      </c>
      <c r="K11">
        <v>1</v>
      </c>
      <c r="L11">
        <v>1</v>
      </c>
      <c r="M11">
        <v>1</v>
      </c>
      <c r="N11">
        <v>1</v>
      </c>
      <c r="O11">
        <v>1</v>
      </c>
      <c r="P11">
        <v>0</v>
      </c>
      <c r="Q11" t="s">
        <v>51</v>
      </c>
      <c r="R11" t="s">
        <v>51</v>
      </c>
      <c r="S11">
        <v>0</v>
      </c>
      <c r="T11" t="s">
        <v>51</v>
      </c>
      <c r="U11" t="s">
        <v>51</v>
      </c>
      <c r="V11">
        <v>0</v>
      </c>
      <c r="W11" t="s">
        <v>51</v>
      </c>
      <c r="X11" t="s">
        <v>51</v>
      </c>
      <c r="Y11">
        <v>1</v>
      </c>
      <c r="Z11">
        <v>1</v>
      </c>
      <c r="AA11">
        <v>1</v>
      </c>
      <c r="AB11">
        <v>0</v>
      </c>
      <c r="AC11" t="s">
        <v>51</v>
      </c>
      <c r="AD11" t="s">
        <v>51</v>
      </c>
      <c r="AE11">
        <v>1</v>
      </c>
      <c r="AF11">
        <v>1</v>
      </c>
      <c r="AG11">
        <v>1</v>
      </c>
      <c r="AH11">
        <v>1</v>
      </c>
      <c r="AI11">
        <v>1</v>
      </c>
      <c r="AJ11">
        <v>1</v>
      </c>
      <c r="AK11">
        <v>1</v>
      </c>
      <c r="AL11">
        <v>1</v>
      </c>
      <c r="AM11">
        <v>1</v>
      </c>
      <c r="AN11">
        <v>1</v>
      </c>
      <c r="AO11">
        <v>2</v>
      </c>
      <c r="AP11">
        <v>2</v>
      </c>
      <c r="AQ11">
        <v>1</v>
      </c>
      <c r="AR11">
        <v>1</v>
      </c>
      <c r="AS11">
        <v>1</v>
      </c>
      <c r="AT11">
        <v>1</v>
      </c>
      <c r="AU11">
        <v>1</v>
      </c>
      <c r="AV11">
        <v>3</v>
      </c>
      <c r="AX11" t="s">
        <v>230</v>
      </c>
    </row>
    <row r="12" spans="1:50">
      <c r="A12">
        <v>137</v>
      </c>
      <c r="B12" t="s">
        <v>225</v>
      </c>
      <c r="C12">
        <v>39089057</v>
      </c>
      <c r="D12" t="s">
        <v>233</v>
      </c>
      <c r="E12">
        <v>1</v>
      </c>
      <c r="F12">
        <v>0</v>
      </c>
      <c r="G12">
        <v>1</v>
      </c>
      <c r="H12">
        <v>1</v>
      </c>
      <c r="I12">
        <v>1</v>
      </c>
      <c r="J12">
        <v>1</v>
      </c>
      <c r="K12">
        <v>1</v>
      </c>
      <c r="L12">
        <v>1</v>
      </c>
      <c r="M12">
        <v>1</v>
      </c>
      <c r="N12">
        <v>1</v>
      </c>
      <c r="O12">
        <v>1</v>
      </c>
      <c r="P12">
        <v>1</v>
      </c>
      <c r="Q12">
        <v>1</v>
      </c>
      <c r="R12">
        <v>1</v>
      </c>
      <c r="S12">
        <v>0</v>
      </c>
      <c r="T12" t="s">
        <v>51</v>
      </c>
      <c r="U12" t="s">
        <v>51</v>
      </c>
      <c r="V12">
        <v>1</v>
      </c>
      <c r="W12">
        <v>1</v>
      </c>
      <c r="X12">
        <v>2</v>
      </c>
      <c r="Y12">
        <v>0</v>
      </c>
      <c r="Z12" t="s">
        <v>51</v>
      </c>
      <c r="AA12" t="s">
        <v>51</v>
      </c>
      <c r="AB12">
        <v>0</v>
      </c>
      <c r="AC12" t="s">
        <v>51</v>
      </c>
      <c r="AD12" t="s">
        <v>51</v>
      </c>
      <c r="AE12">
        <v>1</v>
      </c>
      <c r="AF12">
        <v>1</v>
      </c>
      <c r="AG12">
        <v>1</v>
      </c>
      <c r="AH12">
        <v>1</v>
      </c>
      <c r="AI12">
        <v>1</v>
      </c>
      <c r="AJ12">
        <v>1</v>
      </c>
      <c r="AK12">
        <v>1</v>
      </c>
      <c r="AL12">
        <v>1</v>
      </c>
      <c r="AM12">
        <v>1</v>
      </c>
      <c r="AN12">
        <v>1</v>
      </c>
      <c r="AO12">
        <v>2</v>
      </c>
      <c r="AP12">
        <v>3</v>
      </c>
      <c r="AQ12">
        <v>1</v>
      </c>
      <c r="AR12">
        <v>1</v>
      </c>
      <c r="AS12">
        <v>1</v>
      </c>
      <c r="AT12">
        <v>1</v>
      </c>
      <c r="AU12">
        <v>1</v>
      </c>
      <c r="AV12">
        <v>1</v>
      </c>
      <c r="AX12" t="s">
        <v>234</v>
      </c>
    </row>
    <row r="13" spans="1:50">
      <c r="A13">
        <v>144</v>
      </c>
      <c r="B13" t="s">
        <v>238</v>
      </c>
      <c r="C13">
        <v>38307961</v>
      </c>
      <c r="D13" t="s">
        <v>241</v>
      </c>
      <c r="E13">
        <v>2</v>
      </c>
      <c r="F13">
        <v>0</v>
      </c>
      <c r="G13">
        <v>1</v>
      </c>
      <c r="H13">
        <v>1</v>
      </c>
      <c r="I13">
        <v>3</v>
      </c>
      <c r="J13">
        <v>1</v>
      </c>
      <c r="K13">
        <v>1</v>
      </c>
      <c r="L13">
        <v>1</v>
      </c>
      <c r="M13">
        <v>1</v>
      </c>
      <c r="N13">
        <v>1</v>
      </c>
      <c r="O13">
        <v>1</v>
      </c>
      <c r="P13">
        <v>0</v>
      </c>
      <c r="Q13" t="s">
        <v>51</v>
      </c>
      <c r="R13" t="s">
        <v>51</v>
      </c>
      <c r="S13">
        <v>0</v>
      </c>
      <c r="T13" t="s">
        <v>51</v>
      </c>
      <c r="U13" t="s">
        <v>51</v>
      </c>
      <c r="V13">
        <v>0</v>
      </c>
      <c r="W13" t="s">
        <v>51</v>
      </c>
      <c r="X13" t="s">
        <v>51</v>
      </c>
      <c r="Y13">
        <v>1</v>
      </c>
      <c r="Z13">
        <v>1</v>
      </c>
      <c r="AA13">
        <v>1</v>
      </c>
      <c r="AB13">
        <v>0</v>
      </c>
      <c r="AC13" t="s">
        <v>51</v>
      </c>
      <c r="AD13" t="s">
        <v>51</v>
      </c>
      <c r="AE13">
        <v>1</v>
      </c>
      <c r="AF13">
        <v>1</v>
      </c>
      <c r="AG13">
        <v>1</v>
      </c>
      <c r="AH13">
        <v>1</v>
      </c>
      <c r="AI13">
        <v>1</v>
      </c>
      <c r="AJ13">
        <v>1</v>
      </c>
      <c r="AK13">
        <v>1</v>
      </c>
      <c r="AL13">
        <v>1</v>
      </c>
      <c r="AM13">
        <v>1</v>
      </c>
      <c r="AN13">
        <v>0</v>
      </c>
      <c r="AO13" t="s">
        <v>51</v>
      </c>
      <c r="AP13" t="s">
        <v>51</v>
      </c>
      <c r="AQ13">
        <v>1</v>
      </c>
      <c r="AR13">
        <v>1</v>
      </c>
      <c r="AS13">
        <v>1</v>
      </c>
      <c r="AT13">
        <v>1</v>
      </c>
      <c r="AU13">
        <v>1</v>
      </c>
      <c r="AV13">
        <v>1</v>
      </c>
      <c r="AX13" t="s">
        <v>242</v>
      </c>
    </row>
    <row r="14" spans="1:50">
      <c r="A14">
        <v>163</v>
      </c>
      <c r="B14" t="s">
        <v>256</v>
      </c>
      <c r="C14">
        <v>39089385</v>
      </c>
      <c r="D14" t="s">
        <v>147</v>
      </c>
      <c r="E14">
        <v>1</v>
      </c>
      <c r="F14">
        <v>0</v>
      </c>
      <c r="G14">
        <v>1</v>
      </c>
      <c r="H14">
        <v>1</v>
      </c>
      <c r="I14">
        <v>1</v>
      </c>
      <c r="J14">
        <v>1</v>
      </c>
      <c r="K14">
        <v>1</v>
      </c>
      <c r="L14">
        <v>1</v>
      </c>
      <c r="M14">
        <v>1</v>
      </c>
      <c r="N14">
        <v>1</v>
      </c>
      <c r="O14">
        <v>1</v>
      </c>
      <c r="P14">
        <v>0</v>
      </c>
      <c r="Q14" t="s">
        <v>51</v>
      </c>
      <c r="R14" t="s">
        <v>51</v>
      </c>
      <c r="S14">
        <v>0</v>
      </c>
      <c r="T14" t="s">
        <v>51</v>
      </c>
      <c r="U14" t="s">
        <v>51</v>
      </c>
      <c r="V14">
        <v>0</v>
      </c>
      <c r="W14" t="s">
        <v>51</v>
      </c>
      <c r="X14" t="s">
        <v>51</v>
      </c>
      <c r="Y14">
        <v>1</v>
      </c>
      <c r="Z14">
        <v>1</v>
      </c>
      <c r="AA14">
        <v>1</v>
      </c>
      <c r="AB14">
        <v>1</v>
      </c>
      <c r="AC14">
        <v>1</v>
      </c>
      <c r="AD14">
        <v>1</v>
      </c>
      <c r="AE14">
        <v>1</v>
      </c>
      <c r="AF14">
        <v>1</v>
      </c>
      <c r="AG14">
        <v>1</v>
      </c>
      <c r="AH14">
        <v>1</v>
      </c>
      <c r="AI14">
        <v>1</v>
      </c>
      <c r="AJ14">
        <v>3</v>
      </c>
      <c r="AK14">
        <v>1</v>
      </c>
      <c r="AL14">
        <v>1</v>
      </c>
      <c r="AM14">
        <v>1</v>
      </c>
      <c r="AN14">
        <v>1</v>
      </c>
      <c r="AO14">
        <v>2</v>
      </c>
      <c r="AP14">
        <v>1</v>
      </c>
      <c r="AQ14">
        <v>1</v>
      </c>
      <c r="AR14">
        <v>1</v>
      </c>
      <c r="AS14">
        <v>1</v>
      </c>
      <c r="AT14">
        <v>1</v>
      </c>
      <c r="AU14">
        <v>1</v>
      </c>
      <c r="AV14">
        <v>1</v>
      </c>
    </row>
    <row r="15" spans="1:50">
      <c r="A15">
        <v>175</v>
      </c>
      <c r="B15" t="s">
        <v>267</v>
      </c>
      <c r="C15">
        <v>39102467</v>
      </c>
      <c r="D15" t="s">
        <v>175</v>
      </c>
      <c r="E15">
        <v>1</v>
      </c>
      <c r="F15">
        <v>0</v>
      </c>
      <c r="G15">
        <v>1</v>
      </c>
      <c r="H15">
        <v>1</v>
      </c>
      <c r="I15">
        <v>1</v>
      </c>
      <c r="J15">
        <v>1</v>
      </c>
      <c r="K15">
        <v>1</v>
      </c>
      <c r="L15">
        <v>1</v>
      </c>
      <c r="M15">
        <v>1</v>
      </c>
      <c r="N15">
        <v>1</v>
      </c>
      <c r="O15">
        <v>1</v>
      </c>
      <c r="P15">
        <v>0</v>
      </c>
      <c r="Q15" t="s">
        <v>51</v>
      </c>
      <c r="R15" t="s">
        <v>51</v>
      </c>
      <c r="S15">
        <v>0</v>
      </c>
      <c r="T15" t="s">
        <v>51</v>
      </c>
      <c r="U15" t="s">
        <v>51</v>
      </c>
      <c r="V15">
        <v>0</v>
      </c>
      <c r="W15" t="s">
        <v>51</v>
      </c>
      <c r="X15" t="s">
        <v>51</v>
      </c>
      <c r="Y15">
        <v>1</v>
      </c>
      <c r="Z15">
        <v>1</v>
      </c>
      <c r="AA15">
        <v>1</v>
      </c>
      <c r="AB15">
        <v>1</v>
      </c>
      <c r="AC15">
        <v>1</v>
      </c>
      <c r="AD15">
        <v>1</v>
      </c>
      <c r="AE15">
        <v>0</v>
      </c>
      <c r="AF15" t="s">
        <v>51</v>
      </c>
      <c r="AG15" t="s">
        <v>51</v>
      </c>
      <c r="AH15">
        <v>1</v>
      </c>
      <c r="AI15">
        <v>1</v>
      </c>
      <c r="AJ15">
        <v>1</v>
      </c>
      <c r="AK15">
        <v>1</v>
      </c>
      <c r="AL15">
        <v>1</v>
      </c>
      <c r="AM15">
        <v>3</v>
      </c>
      <c r="AN15">
        <v>1</v>
      </c>
      <c r="AO15">
        <v>2</v>
      </c>
      <c r="AP15">
        <v>1</v>
      </c>
      <c r="AQ15">
        <v>1</v>
      </c>
      <c r="AR15">
        <v>1</v>
      </c>
      <c r="AS15">
        <v>1</v>
      </c>
      <c r="AT15">
        <v>1</v>
      </c>
      <c r="AU15">
        <v>1</v>
      </c>
      <c r="AV15">
        <v>1</v>
      </c>
      <c r="AX15" t="s">
        <v>271</v>
      </c>
    </row>
    <row r="16" spans="1:50">
      <c r="A16">
        <v>198</v>
      </c>
      <c r="B16" t="s">
        <v>289</v>
      </c>
      <c r="C16">
        <v>39091629</v>
      </c>
      <c r="D16" t="s">
        <v>295</v>
      </c>
      <c r="E16">
        <v>1</v>
      </c>
      <c r="F16">
        <v>0</v>
      </c>
      <c r="G16">
        <v>1</v>
      </c>
      <c r="H16">
        <v>1</v>
      </c>
      <c r="I16">
        <v>1</v>
      </c>
      <c r="J16">
        <v>1</v>
      </c>
      <c r="K16">
        <v>1</v>
      </c>
      <c r="L16">
        <v>1</v>
      </c>
      <c r="M16">
        <v>1</v>
      </c>
      <c r="N16">
        <v>1</v>
      </c>
      <c r="O16">
        <v>1</v>
      </c>
      <c r="P16">
        <v>1</v>
      </c>
      <c r="Q16">
        <v>1</v>
      </c>
      <c r="R16">
        <v>1</v>
      </c>
      <c r="S16">
        <v>0</v>
      </c>
      <c r="T16" t="s">
        <v>51</v>
      </c>
      <c r="U16" t="s">
        <v>51</v>
      </c>
      <c r="V16">
        <v>0</v>
      </c>
      <c r="W16" t="s">
        <v>51</v>
      </c>
      <c r="X16" t="s">
        <v>51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c r="AS16">
        <v>1</v>
      </c>
      <c r="AT16">
        <v>1</v>
      </c>
      <c r="AU16">
        <v>1</v>
      </c>
      <c r="AV16">
        <v>3</v>
      </c>
      <c r="AX16" t="s">
        <v>296</v>
      </c>
    </row>
  </sheetData>
  <pageMargins left="0.7" right="0.7" top="0.75" bottom="0.75" header="0.3" footer="0.3"/>
  <pageSetup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5DA87-70BB-C946-8B3D-2877A7D1E7A6}">
  <dimension ref="A1:G85"/>
  <sheetViews>
    <sheetView topLeftCell="A16" workbookViewId="0">
      <selection activeCell="A6" sqref="A6"/>
    </sheetView>
  </sheetViews>
  <sheetFormatPr baseColWidth="10" defaultRowHeight="15"/>
  <cols>
    <col min="1" max="1" width="36.6640625" customWidth="1"/>
    <col min="2" max="5" width="16.6640625" customWidth="1"/>
    <col min="6" max="7" width="46.6640625" customWidth="1"/>
  </cols>
  <sheetData>
    <row r="1" spans="1:5" ht="19">
      <c r="A1" s="26" t="s">
        <v>315</v>
      </c>
    </row>
    <row r="2" spans="1:5" ht="64">
      <c r="A2" s="36" t="s">
        <v>316</v>
      </c>
    </row>
    <row r="4" spans="1:5">
      <c r="A4" s="27" t="s">
        <v>317</v>
      </c>
    </row>
    <row r="5" spans="1:5">
      <c r="A5" t="s">
        <v>318</v>
      </c>
      <c r="B5" t="s">
        <v>319</v>
      </c>
      <c r="C5" t="s">
        <v>376</v>
      </c>
      <c r="E5" s="2" t="s">
        <v>335</v>
      </c>
    </row>
    <row r="6" spans="1:5" ht="288">
      <c r="A6" t="s">
        <v>320</v>
      </c>
      <c r="B6">
        <v>5</v>
      </c>
      <c r="C6" s="28">
        <f>B6/SUM($B$6:$B$19)</f>
        <v>0.3125</v>
      </c>
      <c r="E6" s="36" t="s">
        <v>336</v>
      </c>
    </row>
    <row r="7" spans="1:5">
      <c r="A7" t="s">
        <v>321</v>
      </c>
      <c r="B7">
        <v>2</v>
      </c>
      <c r="C7" s="28">
        <f>B7/SUM($B$6:$B$19)</f>
        <v>0.125</v>
      </c>
    </row>
    <row r="8" spans="1:5">
      <c r="A8" t="s">
        <v>322</v>
      </c>
      <c r="B8">
        <v>2</v>
      </c>
      <c r="C8" s="28">
        <f>B8/SUM($B$6:$B$19)</f>
        <v>0.125</v>
      </c>
    </row>
    <row r="9" spans="1:5">
      <c r="A9" t="s">
        <v>323</v>
      </c>
      <c r="B9">
        <v>2</v>
      </c>
      <c r="C9" s="28">
        <f>B9/SUM($B$6:$B$19)</f>
        <v>0.125</v>
      </c>
    </row>
    <row r="10" spans="1:5">
      <c r="A10" t="s">
        <v>324</v>
      </c>
      <c r="B10">
        <v>1</v>
      </c>
      <c r="C10" s="28">
        <f>B10/SUM($B$6:$B$19)</f>
        <v>6.25E-2</v>
      </c>
    </row>
    <row r="11" spans="1:5">
      <c r="A11" t="s">
        <v>325</v>
      </c>
      <c r="B11">
        <v>1</v>
      </c>
      <c r="C11" s="28">
        <f>B11/SUM($B$6:$B$19)</f>
        <v>6.25E-2</v>
      </c>
    </row>
    <row r="12" spans="1:5">
      <c r="A12" t="s">
        <v>326</v>
      </c>
      <c r="B12">
        <v>1</v>
      </c>
      <c r="C12" s="28">
        <f>B12/SUM($B$6:$B$19)</f>
        <v>6.25E-2</v>
      </c>
    </row>
    <row r="13" spans="1:5">
      <c r="A13" t="s">
        <v>327</v>
      </c>
      <c r="B13">
        <v>1</v>
      </c>
      <c r="C13" s="28">
        <f>B13/SUM($B$6:$B$19)</f>
        <v>6.25E-2</v>
      </c>
    </row>
    <row r="14" spans="1:5">
      <c r="A14" t="s">
        <v>328</v>
      </c>
      <c r="B14">
        <v>1</v>
      </c>
      <c r="C14" s="28">
        <f>B14/SUM($B$6:$B$19)</f>
        <v>6.25E-2</v>
      </c>
    </row>
    <row r="15" spans="1:5">
      <c r="A15" t="s">
        <v>329</v>
      </c>
      <c r="B15">
        <v>0</v>
      </c>
      <c r="C15" s="28">
        <f>B15/SUM($B$6:$B$19)</f>
        <v>0</v>
      </c>
    </row>
    <row r="16" spans="1:5">
      <c r="A16" t="s">
        <v>330</v>
      </c>
      <c r="B16">
        <v>0</v>
      </c>
      <c r="C16" s="28">
        <f>B16/SUM($B$6:$B$19)</f>
        <v>0</v>
      </c>
    </row>
    <row r="17" spans="1:6">
      <c r="A17" t="s">
        <v>331</v>
      </c>
      <c r="B17">
        <v>0</v>
      </c>
      <c r="C17" s="28">
        <f>B17/SUM($B$6:$B$19)</f>
        <v>0</v>
      </c>
    </row>
    <row r="18" spans="1:6">
      <c r="A18" t="s">
        <v>332</v>
      </c>
      <c r="B18">
        <v>0</v>
      </c>
      <c r="C18" s="28">
        <f>B18/SUM($B$6:$B$19)</f>
        <v>0</v>
      </c>
    </row>
    <row r="19" spans="1:6">
      <c r="A19" t="s">
        <v>333</v>
      </c>
      <c r="B19">
        <v>0</v>
      </c>
      <c r="C19" s="28">
        <f>B19/SUM($B$6:$B$19)</f>
        <v>0</v>
      </c>
    </row>
    <row r="20" spans="1:6">
      <c r="A20" s="2" t="s">
        <v>377</v>
      </c>
      <c r="B20" s="2">
        <f>SUM(B6:B19)</f>
        <v>16</v>
      </c>
      <c r="C20" s="29">
        <f>SUM(C6:C19)</f>
        <v>1</v>
      </c>
    </row>
    <row r="23" spans="1:6">
      <c r="A23" s="27" t="s">
        <v>337</v>
      </c>
    </row>
    <row r="24" spans="1:6">
      <c r="A24" t="s">
        <v>338</v>
      </c>
      <c r="B24" t="s">
        <v>339</v>
      </c>
      <c r="C24" t="s">
        <v>340</v>
      </c>
      <c r="D24" t="s">
        <v>341</v>
      </c>
      <c r="F24" s="2" t="s">
        <v>335</v>
      </c>
    </row>
    <row r="25" spans="1:6" ht="64">
      <c r="A25" t="s">
        <v>144</v>
      </c>
      <c r="B25">
        <v>10</v>
      </c>
      <c r="C25">
        <v>4</v>
      </c>
      <c r="D25" s="30">
        <f>C25/B25</f>
        <v>0.4</v>
      </c>
      <c r="F25" s="36" t="s">
        <v>343</v>
      </c>
    </row>
    <row r="26" spans="1:6">
      <c r="A26" t="s">
        <v>225</v>
      </c>
      <c r="B26">
        <v>10</v>
      </c>
      <c r="C26">
        <v>2</v>
      </c>
      <c r="D26" s="31">
        <f>C26/B26</f>
        <v>0.2</v>
      </c>
    </row>
    <row r="27" spans="1:6">
      <c r="A27" t="s">
        <v>64</v>
      </c>
      <c r="B27">
        <v>10</v>
      </c>
      <c r="C27">
        <v>1</v>
      </c>
      <c r="D27" s="28">
        <f>C27/B27</f>
        <v>0.1</v>
      </c>
    </row>
    <row r="28" spans="1:6">
      <c r="A28" t="s">
        <v>95</v>
      </c>
      <c r="B28">
        <v>10</v>
      </c>
      <c r="C28">
        <v>1</v>
      </c>
      <c r="D28" s="28">
        <f>C28/B28</f>
        <v>0.1</v>
      </c>
    </row>
    <row r="29" spans="1:6">
      <c r="A29" t="s">
        <v>177</v>
      </c>
      <c r="B29">
        <v>10</v>
      </c>
      <c r="C29">
        <v>1</v>
      </c>
      <c r="D29" s="28">
        <f>C29/B29</f>
        <v>0.1</v>
      </c>
    </row>
    <row r="30" spans="1:6">
      <c r="A30" t="s">
        <v>189</v>
      </c>
      <c r="B30">
        <v>10</v>
      </c>
      <c r="C30">
        <v>1</v>
      </c>
      <c r="D30" s="28">
        <f>C30/B30</f>
        <v>0.1</v>
      </c>
    </row>
    <row r="31" spans="1:6">
      <c r="A31" t="s">
        <v>202</v>
      </c>
      <c r="B31">
        <v>10</v>
      </c>
      <c r="C31">
        <v>1</v>
      </c>
      <c r="D31" s="28">
        <f>C31/B31</f>
        <v>0.1</v>
      </c>
    </row>
    <row r="32" spans="1:6">
      <c r="A32" t="s">
        <v>238</v>
      </c>
      <c r="B32">
        <v>10</v>
      </c>
      <c r="C32">
        <v>1</v>
      </c>
      <c r="D32" s="28">
        <f>C32/B32</f>
        <v>0.1</v>
      </c>
    </row>
    <row r="33" spans="1:7">
      <c r="A33" t="s">
        <v>256</v>
      </c>
      <c r="B33">
        <v>10</v>
      </c>
      <c r="C33">
        <v>1</v>
      </c>
      <c r="D33" s="28">
        <f>C33/B33</f>
        <v>0.1</v>
      </c>
    </row>
    <row r="34" spans="1:7">
      <c r="A34" t="s">
        <v>267</v>
      </c>
      <c r="B34">
        <v>10</v>
      </c>
      <c r="C34">
        <v>1</v>
      </c>
      <c r="D34" s="28">
        <f>C34/B34</f>
        <v>0.1</v>
      </c>
    </row>
    <row r="35" spans="1:7">
      <c r="A35" t="s">
        <v>289</v>
      </c>
      <c r="B35">
        <v>10</v>
      </c>
      <c r="C35">
        <v>1</v>
      </c>
      <c r="D35" s="28">
        <f>C35/B35</f>
        <v>0.1</v>
      </c>
    </row>
    <row r="36" spans="1:7">
      <c r="A36" t="s">
        <v>342</v>
      </c>
      <c r="B36">
        <v>90</v>
      </c>
      <c r="C36">
        <v>0</v>
      </c>
      <c r="D36" s="28">
        <f>C36/B36</f>
        <v>0</v>
      </c>
    </row>
    <row r="37" spans="1:7">
      <c r="A37" s="2" t="s">
        <v>334</v>
      </c>
      <c r="B37" s="2">
        <f>SUM(B25:B36)</f>
        <v>200</v>
      </c>
      <c r="C37" s="2">
        <f>SUM(C25:C36)</f>
        <v>15</v>
      </c>
      <c r="D37" s="29">
        <f>C37/B37</f>
        <v>7.4999999999999997E-2</v>
      </c>
    </row>
    <row r="40" spans="1:7">
      <c r="A40" s="27" t="s">
        <v>344</v>
      </c>
    </row>
    <row r="41" spans="1:7">
      <c r="A41" t="s">
        <v>345</v>
      </c>
      <c r="B41" t="s">
        <v>346</v>
      </c>
      <c r="C41" t="s">
        <v>339</v>
      </c>
      <c r="D41" t="s">
        <v>340</v>
      </c>
      <c r="E41" t="s">
        <v>341</v>
      </c>
      <c r="G41" s="2" t="s">
        <v>335</v>
      </c>
    </row>
    <row r="42" spans="1:7" ht="64">
      <c r="A42" t="s">
        <v>4</v>
      </c>
      <c r="B42" t="s">
        <v>347</v>
      </c>
      <c r="C42">
        <v>164</v>
      </c>
      <c r="D42">
        <v>11</v>
      </c>
      <c r="E42" s="32">
        <f>D42/C42</f>
        <v>6.7073170731707321E-2</v>
      </c>
      <c r="G42" s="36" t="s">
        <v>351</v>
      </c>
    </row>
    <row r="43" spans="1:7">
      <c r="A43" t="s">
        <v>4</v>
      </c>
      <c r="B43" t="s">
        <v>348</v>
      </c>
      <c r="C43">
        <v>36</v>
      </c>
      <c r="D43">
        <v>4</v>
      </c>
      <c r="E43" s="32">
        <f>D43/C43</f>
        <v>0.1111111111111111</v>
      </c>
    </row>
    <row r="44" spans="1:7">
      <c r="A44" t="s">
        <v>5</v>
      </c>
      <c r="B44" t="s">
        <v>349</v>
      </c>
      <c r="C44">
        <v>162</v>
      </c>
      <c r="D44">
        <v>13</v>
      </c>
      <c r="E44" s="32">
        <f>D44/C44</f>
        <v>8.0246913580246909E-2</v>
      </c>
    </row>
    <row r="45" spans="1:7">
      <c r="A45" t="s">
        <v>5</v>
      </c>
      <c r="B45" t="s">
        <v>350</v>
      </c>
      <c r="C45">
        <v>38</v>
      </c>
      <c r="D45">
        <v>2</v>
      </c>
      <c r="E45" s="32">
        <f>D45/C45</f>
        <v>5.2631578947368418E-2</v>
      </c>
    </row>
    <row r="48" spans="1:7">
      <c r="A48" s="27" t="s">
        <v>352</v>
      </c>
    </row>
    <row r="49" spans="1:7">
      <c r="A49" t="s">
        <v>353</v>
      </c>
      <c r="B49" t="s">
        <v>354</v>
      </c>
      <c r="C49" t="s">
        <v>355</v>
      </c>
      <c r="E49" s="2" t="s">
        <v>335</v>
      </c>
    </row>
    <row r="50" spans="1:7" ht="192">
      <c r="A50" t="s">
        <v>356</v>
      </c>
      <c r="B50" s="33">
        <v>2.67</v>
      </c>
      <c r="C50" s="33">
        <v>2.4900000000000002</v>
      </c>
      <c r="E50" s="36" t="s">
        <v>359</v>
      </c>
    </row>
    <row r="51" spans="1:7">
      <c r="A51" t="s">
        <v>357</v>
      </c>
      <c r="B51" s="33">
        <v>0.8</v>
      </c>
      <c r="C51" s="33">
        <v>1.36</v>
      </c>
    </row>
    <row r="52" spans="1:7">
      <c r="A52" t="s">
        <v>358</v>
      </c>
      <c r="B52" s="33">
        <v>0.33</v>
      </c>
      <c r="C52" s="33">
        <v>0.39</v>
      </c>
    </row>
    <row r="55" spans="1:7">
      <c r="A55" s="27" t="s">
        <v>360</v>
      </c>
    </row>
    <row r="56" spans="1:7">
      <c r="A56" t="s">
        <v>361</v>
      </c>
      <c r="E56" s="2" t="s">
        <v>335</v>
      </c>
    </row>
    <row r="57" spans="1:7" ht="272">
      <c r="A57" t="s">
        <v>362</v>
      </c>
      <c r="B57">
        <v>14</v>
      </c>
      <c r="C57" s="28">
        <f>B57/16</f>
        <v>0.875</v>
      </c>
      <c r="E57" s="36" t="s">
        <v>364</v>
      </c>
    </row>
    <row r="58" spans="1:7">
      <c r="A58" t="s">
        <v>363</v>
      </c>
      <c r="B58">
        <v>2</v>
      </c>
      <c r="C58" s="28">
        <f>B58/16</f>
        <v>0.125</v>
      </c>
    </row>
    <row r="61" spans="1:7">
      <c r="A61" s="27" t="s">
        <v>365</v>
      </c>
    </row>
    <row r="62" spans="1:7" ht="64">
      <c r="A62" t="s">
        <v>366</v>
      </c>
      <c r="B62" t="s">
        <v>318</v>
      </c>
      <c r="C62" t="s">
        <v>367</v>
      </c>
      <c r="D62" t="s">
        <v>368</v>
      </c>
      <c r="E62" t="s">
        <v>369</v>
      </c>
      <c r="G62" s="36" t="s">
        <v>370</v>
      </c>
    </row>
    <row r="63" spans="1:7">
      <c r="A63">
        <v>13</v>
      </c>
      <c r="B63" t="s">
        <v>325</v>
      </c>
      <c r="C63">
        <v>1</v>
      </c>
      <c r="D63">
        <v>1</v>
      </c>
      <c r="E63">
        <v>3</v>
      </c>
    </row>
    <row r="64" spans="1:7">
      <c r="A64">
        <v>32</v>
      </c>
      <c r="B64" t="s">
        <v>328</v>
      </c>
      <c r="C64">
        <v>1</v>
      </c>
      <c r="D64">
        <v>1</v>
      </c>
      <c r="E64">
        <v>3</v>
      </c>
    </row>
    <row r="65" spans="1:5">
      <c r="A65">
        <v>63</v>
      </c>
      <c r="B65" t="s">
        <v>321</v>
      </c>
      <c r="C65">
        <v>1</v>
      </c>
      <c r="D65">
        <v>1</v>
      </c>
      <c r="E65">
        <v>3</v>
      </c>
    </row>
    <row r="66" spans="1:5">
      <c r="A66">
        <v>64</v>
      </c>
      <c r="B66" t="s">
        <v>324</v>
      </c>
      <c r="C66">
        <v>1</v>
      </c>
      <c r="D66">
        <v>1</v>
      </c>
      <c r="E66">
        <v>3</v>
      </c>
    </row>
    <row r="67" spans="1:5">
      <c r="A67">
        <v>67</v>
      </c>
      <c r="B67" t="s">
        <v>320</v>
      </c>
      <c r="C67">
        <v>1</v>
      </c>
      <c r="D67">
        <v>1</v>
      </c>
      <c r="E67">
        <v>3</v>
      </c>
    </row>
    <row r="68" spans="1:5">
      <c r="A68">
        <v>71</v>
      </c>
      <c r="B68" t="s">
        <v>320</v>
      </c>
      <c r="C68">
        <v>1</v>
      </c>
      <c r="D68">
        <v>1</v>
      </c>
      <c r="E68">
        <v>3</v>
      </c>
    </row>
    <row r="69" spans="1:5">
      <c r="A69">
        <v>71</v>
      </c>
      <c r="B69" t="s">
        <v>321</v>
      </c>
      <c r="C69">
        <v>1</v>
      </c>
      <c r="D69">
        <v>1</v>
      </c>
      <c r="E69">
        <v>3</v>
      </c>
    </row>
    <row r="70" spans="1:5">
      <c r="A70">
        <v>95</v>
      </c>
      <c r="B70" t="s">
        <v>320</v>
      </c>
      <c r="C70">
        <v>1</v>
      </c>
      <c r="D70">
        <v>1</v>
      </c>
      <c r="E70">
        <v>3</v>
      </c>
    </row>
    <row r="71" spans="1:5">
      <c r="A71">
        <v>104</v>
      </c>
      <c r="B71" t="s">
        <v>320</v>
      </c>
      <c r="C71">
        <v>1</v>
      </c>
      <c r="D71">
        <v>1</v>
      </c>
      <c r="E71">
        <v>3</v>
      </c>
    </row>
    <row r="72" spans="1:5">
      <c r="A72">
        <v>118</v>
      </c>
      <c r="B72" t="s">
        <v>322</v>
      </c>
      <c r="C72">
        <v>1</v>
      </c>
      <c r="D72">
        <v>2</v>
      </c>
      <c r="E72" s="34">
        <v>3</v>
      </c>
    </row>
    <row r="73" spans="1:5">
      <c r="A73">
        <v>135</v>
      </c>
      <c r="B73" t="s">
        <v>323</v>
      </c>
      <c r="C73">
        <v>1</v>
      </c>
      <c r="D73">
        <v>1</v>
      </c>
      <c r="E73">
        <v>3</v>
      </c>
    </row>
    <row r="74" spans="1:5">
      <c r="A74">
        <v>138</v>
      </c>
      <c r="B74" t="s">
        <v>322</v>
      </c>
      <c r="C74">
        <v>1</v>
      </c>
      <c r="D74">
        <v>2</v>
      </c>
      <c r="E74" s="34">
        <v>3</v>
      </c>
    </row>
    <row r="75" spans="1:5">
      <c r="A75">
        <v>145</v>
      </c>
      <c r="B75" t="s">
        <v>320</v>
      </c>
      <c r="C75">
        <v>1</v>
      </c>
      <c r="D75">
        <v>1</v>
      </c>
      <c r="E75">
        <v>3</v>
      </c>
    </row>
    <row r="76" spans="1:5">
      <c r="A76">
        <v>164</v>
      </c>
      <c r="B76" t="s">
        <v>326</v>
      </c>
      <c r="C76">
        <v>1</v>
      </c>
      <c r="D76">
        <v>1</v>
      </c>
      <c r="E76" s="34">
        <v>3</v>
      </c>
    </row>
    <row r="77" spans="1:5">
      <c r="A77">
        <v>176</v>
      </c>
      <c r="B77" t="s">
        <v>327</v>
      </c>
      <c r="C77">
        <v>1</v>
      </c>
      <c r="D77">
        <v>1</v>
      </c>
      <c r="E77">
        <v>3</v>
      </c>
    </row>
    <row r="78" spans="1:5">
      <c r="A78">
        <v>199</v>
      </c>
      <c r="B78" t="s">
        <v>323</v>
      </c>
      <c r="C78">
        <v>1</v>
      </c>
      <c r="D78">
        <v>1</v>
      </c>
      <c r="E78" s="34">
        <v>3</v>
      </c>
    </row>
    <row r="81" spans="1:1" ht="16">
      <c r="A81" s="35" t="s">
        <v>371</v>
      </c>
    </row>
    <row r="82" spans="1:1" ht="128">
      <c r="A82" s="36" t="s">
        <v>372</v>
      </c>
    </row>
    <row r="83" spans="1:1" ht="80">
      <c r="A83" s="36" t="s">
        <v>373</v>
      </c>
    </row>
    <row r="84" spans="1:1" ht="64">
      <c r="A84" s="36" t="s">
        <v>374</v>
      </c>
    </row>
    <row r="85" spans="1:1" ht="80">
      <c r="A85" s="36" t="s">
        <v>375</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210DC-FFD2-784F-BDB0-2773AFD1F763}">
  <dimension ref="A1:AW7"/>
  <sheetViews>
    <sheetView topLeftCell="N1" workbookViewId="0"/>
  </sheetViews>
  <sheetFormatPr baseColWidth="10" defaultRowHeight="15"/>
  <cols>
    <col min="2" max="2" width="13" bestFit="1" customWidth="1"/>
    <col min="3" max="3" width="9.1640625" bestFit="1" customWidth="1"/>
    <col min="4" max="4" width="15.33203125" bestFit="1" customWidth="1"/>
    <col min="5" max="5" width="19.5" bestFit="1" customWidth="1"/>
    <col min="6" max="6" width="20.1640625" bestFit="1" customWidth="1"/>
    <col min="7" max="8" width="24.1640625" bestFit="1" customWidth="1"/>
    <col min="9" max="9" width="20" bestFit="1" customWidth="1"/>
    <col min="10" max="11" width="22.33203125" bestFit="1" customWidth="1"/>
    <col min="12" max="12" width="18.1640625" bestFit="1" customWidth="1"/>
    <col min="13" max="14" width="27.33203125" bestFit="1" customWidth="1"/>
    <col min="15" max="15" width="23.1640625" bestFit="1" customWidth="1"/>
    <col min="16" max="17" width="35.33203125" bestFit="1" customWidth="1"/>
    <col min="18" max="18" width="31.1640625" bestFit="1" customWidth="1"/>
    <col min="19" max="20" width="38.5" bestFit="1" customWidth="1"/>
    <col min="21" max="21" width="34.5" bestFit="1" customWidth="1"/>
    <col min="22" max="23" width="20.5" bestFit="1" customWidth="1"/>
    <col min="24" max="24" width="16.33203125" bestFit="1" customWidth="1"/>
    <col min="25" max="26" width="35" bestFit="1" customWidth="1"/>
    <col min="27" max="27" width="30.83203125" bestFit="1" customWidth="1"/>
    <col min="28" max="29" width="35.6640625" bestFit="1" customWidth="1"/>
    <col min="30" max="30" width="31.5" bestFit="1" customWidth="1"/>
    <col min="31" max="32" width="25" bestFit="1" customWidth="1"/>
    <col min="33" max="33" width="20.83203125" bestFit="1" customWidth="1"/>
    <col min="34" max="35" width="33" bestFit="1" customWidth="1"/>
    <col min="36" max="36" width="28.83203125" bestFit="1" customWidth="1"/>
    <col min="37" max="38" width="27.5" bestFit="1" customWidth="1"/>
    <col min="39" max="39" width="23.33203125" bestFit="1" customWidth="1"/>
    <col min="40" max="41" width="44.1640625" bestFit="1" customWidth="1"/>
    <col min="42" max="42" width="40.1640625" bestFit="1" customWidth="1"/>
    <col min="43" max="44" width="31.33203125" bestFit="1" customWidth="1"/>
    <col min="45" max="45" width="27.1640625" bestFit="1" customWidth="1"/>
    <col min="46" max="47" width="22.1640625" bestFit="1" customWidth="1"/>
    <col min="48" max="48" width="18" bestFit="1" customWidth="1"/>
    <col min="49" max="49" width="253" bestFit="1" customWidth="1"/>
  </cols>
  <sheetData>
    <row r="1" spans="1:49">
      <c r="A1" s="27" t="s">
        <v>0</v>
      </c>
      <c r="B1" s="27" t="s">
        <v>1</v>
      </c>
      <c r="C1" s="27" t="s">
        <v>2</v>
      </c>
      <c r="D1" s="27" t="s">
        <v>3</v>
      </c>
      <c r="E1" s="27" t="s">
        <v>4</v>
      </c>
      <c r="F1" s="27" t="s">
        <v>5</v>
      </c>
      <c r="G1" s="27" t="s">
        <v>6</v>
      </c>
      <c r="H1" s="27" t="s">
        <v>7</v>
      </c>
      <c r="I1" s="27" t="s">
        <v>8</v>
      </c>
      <c r="J1" s="27" t="s">
        <v>9</v>
      </c>
      <c r="K1" s="27" t="s">
        <v>10</v>
      </c>
      <c r="L1" s="27" t="s">
        <v>11</v>
      </c>
      <c r="M1" s="27" t="s">
        <v>12</v>
      </c>
      <c r="N1" s="27" t="s">
        <v>13</v>
      </c>
      <c r="O1" s="27" t="s">
        <v>14</v>
      </c>
      <c r="P1" s="27" t="s">
        <v>15</v>
      </c>
      <c r="Q1" s="27" t="s">
        <v>16</v>
      </c>
      <c r="R1" s="27" t="s">
        <v>17</v>
      </c>
      <c r="S1" s="27" t="s">
        <v>18</v>
      </c>
      <c r="T1" s="27" t="s">
        <v>19</v>
      </c>
      <c r="U1" s="27" t="s">
        <v>20</v>
      </c>
      <c r="V1" s="27" t="s">
        <v>21</v>
      </c>
      <c r="W1" s="27" t="s">
        <v>22</v>
      </c>
      <c r="X1" s="27" t="s">
        <v>23</v>
      </c>
      <c r="Y1" s="27" t="s">
        <v>24</v>
      </c>
      <c r="Z1" s="27" t="s">
        <v>25</v>
      </c>
      <c r="AA1" s="27" t="s">
        <v>26</v>
      </c>
      <c r="AB1" s="27" t="s">
        <v>27</v>
      </c>
      <c r="AC1" s="27" t="s">
        <v>28</v>
      </c>
      <c r="AD1" s="27" t="s">
        <v>29</v>
      </c>
      <c r="AE1" s="27" t="s">
        <v>30</v>
      </c>
      <c r="AF1" s="27" t="s">
        <v>31</v>
      </c>
      <c r="AG1" s="27" t="s">
        <v>32</v>
      </c>
      <c r="AH1" s="27" t="s">
        <v>33</v>
      </c>
      <c r="AI1" s="27" t="s">
        <v>34</v>
      </c>
      <c r="AJ1" s="27" t="s">
        <v>35</v>
      </c>
      <c r="AK1" s="27" t="s">
        <v>36</v>
      </c>
      <c r="AL1" s="27" t="s">
        <v>37</v>
      </c>
      <c r="AM1" s="27" t="s">
        <v>38</v>
      </c>
      <c r="AN1" s="27" t="s">
        <v>39</v>
      </c>
      <c r="AO1" s="27" t="s">
        <v>40</v>
      </c>
      <c r="AP1" s="27" t="s">
        <v>41</v>
      </c>
      <c r="AQ1" s="27" t="s">
        <v>42</v>
      </c>
      <c r="AR1" s="27" t="s">
        <v>43</v>
      </c>
      <c r="AS1" s="27" t="s">
        <v>44</v>
      </c>
      <c r="AT1" s="27" t="s">
        <v>45</v>
      </c>
      <c r="AU1" s="27" t="s">
        <v>46</v>
      </c>
      <c r="AV1" s="27" t="s">
        <v>47</v>
      </c>
      <c r="AW1" s="27" t="s">
        <v>48</v>
      </c>
    </row>
    <row r="2" spans="1:49">
      <c r="A2">
        <v>162</v>
      </c>
      <c r="B2" t="s">
        <v>256</v>
      </c>
      <c r="C2">
        <v>39090606</v>
      </c>
      <c r="D2" t="s">
        <v>176</v>
      </c>
      <c r="E2">
        <v>1</v>
      </c>
      <c r="F2">
        <v>0</v>
      </c>
      <c r="G2">
        <v>1</v>
      </c>
      <c r="H2">
        <v>1</v>
      </c>
      <c r="I2">
        <v>1</v>
      </c>
      <c r="J2">
        <v>1</v>
      </c>
      <c r="K2">
        <v>1</v>
      </c>
      <c r="L2">
        <v>1</v>
      </c>
      <c r="M2">
        <v>1</v>
      </c>
      <c r="N2">
        <v>1</v>
      </c>
      <c r="O2">
        <v>1</v>
      </c>
      <c r="P2">
        <v>1</v>
      </c>
      <c r="Q2">
        <v>1</v>
      </c>
      <c r="R2">
        <v>1</v>
      </c>
      <c r="S2">
        <v>0</v>
      </c>
      <c r="T2" t="s">
        <v>51</v>
      </c>
      <c r="U2" t="s">
        <v>51</v>
      </c>
      <c r="V2">
        <v>0</v>
      </c>
      <c r="W2" t="s">
        <v>51</v>
      </c>
      <c r="X2" t="s">
        <v>51</v>
      </c>
      <c r="Y2">
        <v>1</v>
      </c>
      <c r="Z2">
        <v>1</v>
      </c>
      <c r="AA2">
        <v>1</v>
      </c>
      <c r="AB2">
        <v>1</v>
      </c>
      <c r="AC2">
        <v>2</v>
      </c>
      <c r="AD2">
        <v>2</v>
      </c>
      <c r="AE2">
        <v>1</v>
      </c>
      <c r="AF2">
        <v>1</v>
      </c>
      <c r="AG2">
        <v>1</v>
      </c>
      <c r="AH2">
        <v>1</v>
      </c>
      <c r="AI2">
        <v>3</v>
      </c>
      <c r="AJ2">
        <v>1</v>
      </c>
      <c r="AK2">
        <v>1</v>
      </c>
      <c r="AL2">
        <v>1</v>
      </c>
      <c r="AM2">
        <v>1</v>
      </c>
      <c r="AN2">
        <v>0</v>
      </c>
      <c r="AO2" t="s">
        <v>51</v>
      </c>
      <c r="AP2" t="s">
        <v>51</v>
      </c>
      <c r="AQ2">
        <v>1</v>
      </c>
      <c r="AR2">
        <v>1</v>
      </c>
      <c r="AS2">
        <v>1</v>
      </c>
      <c r="AT2">
        <v>0</v>
      </c>
      <c r="AU2" t="s">
        <v>51</v>
      </c>
      <c r="AV2" t="s">
        <v>51</v>
      </c>
    </row>
    <row r="3" spans="1:49">
      <c r="A3">
        <v>164</v>
      </c>
      <c r="B3" t="s">
        <v>256</v>
      </c>
      <c r="C3">
        <v>39086335</v>
      </c>
      <c r="D3" t="s">
        <v>257</v>
      </c>
      <c r="E3">
        <v>1</v>
      </c>
      <c r="F3">
        <v>0</v>
      </c>
      <c r="G3">
        <v>1</v>
      </c>
      <c r="H3">
        <v>3</v>
      </c>
      <c r="I3">
        <v>1</v>
      </c>
      <c r="J3">
        <v>1</v>
      </c>
      <c r="K3">
        <v>1</v>
      </c>
      <c r="L3">
        <v>1</v>
      </c>
      <c r="M3">
        <v>1</v>
      </c>
      <c r="N3">
        <v>1</v>
      </c>
      <c r="O3">
        <v>1</v>
      </c>
      <c r="P3">
        <v>1</v>
      </c>
      <c r="Q3">
        <v>2</v>
      </c>
      <c r="R3">
        <v>1</v>
      </c>
      <c r="S3">
        <v>0</v>
      </c>
      <c r="T3" t="s">
        <v>51</v>
      </c>
      <c r="U3" t="s">
        <v>51</v>
      </c>
      <c r="V3">
        <v>0</v>
      </c>
      <c r="W3" t="s">
        <v>51</v>
      </c>
      <c r="X3" t="s">
        <v>51</v>
      </c>
      <c r="Y3">
        <v>1</v>
      </c>
      <c r="Z3">
        <v>1</v>
      </c>
      <c r="AA3">
        <v>1</v>
      </c>
      <c r="AB3">
        <v>1</v>
      </c>
      <c r="AC3">
        <v>2</v>
      </c>
      <c r="AD3">
        <v>1</v>
      </c>
      <c r="AE3">
        <v>0</v>
      </c>
      <c r="AF3" t="s">
        <v>51</v>
      </c>
      <c r="AG3" t="s">
        <v>51</v>
      </c>
      <c r="AH3">
        <v>1</v>
      </c>
      <c r="AI3">
        <v>1</v>
      </c>
      <c r="AJ3">
        <v>1</v>
      </c>
      <c r="AK3">
        <v>1</v>
      </c>
      <c r="AL3">
        <v>1</v>
      </c>
      <c r="AM3">
        <v>1</v>
      </c>
      <c r="AN3">
        <v>0</v>
      </c>
      <c r="AO3" t="s">
        <v>51</v>
      </c>
      <c r="AP3" t="s">
        <v>51</v>
      </c>
      <c r="AQ3">
        <v>1</v>
      </c>
      <c r="AR3">
        <v>1</v>
      </c>
      <c r="AS3">
        <v>1</v>
      </c>
      <c r="AT3">
        <v>1</v>
      </c>
      <c r="AU3">
        <v>1</v>
      </c>
      <c r="AV3">
        <v>1</v>
      </c>
      <c r="AW3" t="s">
        <v>258</v>
      </c>
    </row>
    <row r="4" spans="1:49">
      <c r="A4">
        <v>168</v>
      </c>
      <c r="B4" t="s">
        <v>256</v>
      </c>
      <c r="C4">
        <v>39091900</v>
      </c>
      <c r="D4" t="s">
        <v>264</v>
      </c>
      <c r="E4">
        <v>1</v>
      </c>
      <c r="F4">
        <v>0</v>
      </c>
      <c r="G4">
        <v>1</v>
      </c>
      <c r="H4">
        <v>1</v>
      </c>
      <c r="I4">
        <v>1</v>
      </c>
      <c r="J4">
        <v>1</v>
      </c>
      <c r="K4">
        <v>1</v>
      </c>
      <c r="L4">
        <v>1</v>
      </c>
      <c r="M4">
        <v>1</v>
      </c>
      <c r="N4">
        <v>1</v>
      </c>
      <c r="O4">
        <v>1</v>
      </c>
      <c r="P4">
        <v>1</v>
      </c>
      <c r="Q4">
        <v>1</v>
      </c>
      <c r="R4">
        <v>2</v>
      </c>
      <c r="S4">
        <v>1</v>
      </c>
      <c r="T4">
        <v>1</v>
      </c>
      <c r="U4">
        <v>1</v>
      </c>
      <c r="V4">
        <v>1</v>
      </c>
      <c r="W4">
        <v>3</v>
      </c>
      <c r="X4">
        <v>1</v>
      </c>
      <c r="Y4">
        <v>1</v>
      </c>
      <c r="Z4">
        <v>1</v>
      </c>
      <c r="AA4">
        <v>1</v>
      </c>
      <c r="AB4">
        <v>1</v>
      </c>
      <c r="AC4">
        <v>2</v>
      </c>
      <c r="AD4">
        <v>2</v>
      </c>
      <c r="AE4">
        <v>1</v>
      </c>
      <c r="AF4">
        <v>1</v>
      </c>
      <c r="AG4">
        <v>1</v>
      </c>
      <c r="AH4">
        <v>1</v>
      </c>
      <c r="AI4">
        <v>1</v>
      </c>
      <c r="AJ4">
        <v>1</v>
      </c>
      <c r="AK4">
        <v>1</v>
      </c>
      <c r="AL4">
        <v>1</v>
      </c>
      <c r="AM4">
        <v>1</v>
      </c>
      <c r="AN4">
        <v>1</v>
      </c>
      <c r="AO4">
        <v>2</v>
      </c>
      <c r="AP4">
        <v>1</v>
      </c>
      <c r="AQ4">
        <v>1</v>
      </c>
      <c r="AR4">
        <v>1</v>
      </c>
      <c r="AS4">
        <v>1</v>
      </c>
      <c r="AT4">
        <v>1</v>
      </c>
      <c r="AU4">
        <v>1</v>
      </c>
      <c r="AV4">
        <v>2</v>
      </c>
      <c r="AW4" t="s">
        <v>265</v>
      </c>
    </row>
    <row r="5" spans="1:49">
      <c r="A5">
        <v>181</v>
      </c>
      <c r="B5" t="s">
        <v>276</v>
      </c>
      <c r="C5">
        <v>39097273</v>
      </c>
      <c r="D5" t="s">
        <v>277</v>
      </c>
      <c r="E5">
        <v>1</v>
      </c>
      <c r="F5">
        <v>0</v>
      </c>
      <c r="G5">
        <v>1</v>
      </c>
      <c r="H5">
        <v>2</v>
      </c>
      <c r="I5">
        <v>1</v>
      </c>
      <c r="J5">
        <v>1</v>
      </c>
      <c r="K5">
        <v>1</v>
      </c>
      <c r="L5">
        <v>1</v>
      </c>
      <c r="M5">
        <v>1</v>
      </c>
      <c r="N5">
        <v>2</v>
      </c>
      <c r="O5">
        <v>1</v>
      </c>
      <c r="P5">
        <v>1</v>
      </c>
      <c r="Q5">
        <v>2</v>
      </c>
      <c r="R5">
        <v>1</v>
      </c>
      <c r="S5">
        <v>0</v>
      </c>
      <c r="T5" t="s">
        <v>51</v>
      </c>
      <c r="U5" t="s">
        <v>51</v>
      </c>
      <c r="V5">
        <v>0</v>
      </c>
      <c r="W5" t="s">
        <v>51</v>
      </c>
      <c r="X5" t="s">
        <v>51</v>
      </c>
      <c r="Y5">
        <v>1</v>
      </c>
      <c r="Z5">
        <v>2</v>
      </c>
      <c r="AA5">
        <v>1</v>
      </c>
      <c r="AB5">
        <v>1</v>
      </c>
      <c r="AC5">
        <v>2</v>
      </c>
      <c r="AD5">
        <v>2</v>
      </c>
      <c r="AE5">
        <v>1</v>
      </c>
      <c r="AF5">
        <v>1</v>
      </c>
      <c r="AG5">
        <v>1</v>
      </c>
      <c r="AH5">
        <v>1</v>
      </c>
      <c r="AI5">
        <v>2</v>
      </c>
      <c r="AJ5">
        <v>1</v>
      </c>
      <c r="AK5">
        <v>1</v>
      </c>
      <c r="AL5">
        <v>2</v>
      </c>
      <c r="AM5">
        <v>1</v>
      </c>
      <c r="AN5">
        <v>1</v>
      </c>
      <c r="AO5">
        <v>2</v>
      </c>
      <c r="AP5">
        <v>1</v>
      </c>
      <c r="AQ5">
        <v>1</v>
      </c>
      <c r="AR5">
        <v>2</v>
      </c>
      <c r="AS5">
        <v>1</v>
      </c>
      <c r="AT5">
        <v>1</v>
      </c>
      <c r="AU5">
        <v>3</v>
      </c>
      <c r="AV5">
        <v>2</v>
      </c>
    </row>
    <row r="6" spans="1:49">
      <c r="A6">
        <v>197</v>
      </c>
      <c r="B6" t="s">
        <v>289</v>
      </c>
      <c r="C6">
        <v>39011543</v>
      </c>
      <c r="D6" t="s">
        <v>110</v>
      </c>
      <c r="E6">
        <v>1</v>
      </c>
      <c r="F6">
        <v>1</v>
      </c>
      <c r="G6">
        <v>1</v>
      </c>
      <c r="H6">
        <v>3</v>
      </c>
      <c r="I6">
        <v>1</v>
      </c>
      <c r="J6">
        <v>1</v>
      </c>
      <c r="K6">
        <v>1</v>
      </c>
      <c r="L6">
        <v>1</v>
      </c>
      <c r="M6">
        <v>1</v>
      </c>
      <c r="N6">
        <v>1</v>
      </c>
      <c r="O6">
        <v>1</v>
      </c>
      <c r="P6">
        <v>0</v>
      </c>
      <c r="Q6" t="s">
        <v>51</v>
      </c>
      <c r="R6" t="s">
        <v>51</v>
      </c>
      <c r="S6">
        <v>1</v>
      </c>
      <c r="T6">
        <v>1</v>
      </c>
      <c r="U6">
        <v>2</v>
      </c>
      <c r="V6">
        <v>1</v>
      </c>
      <c r="W6">
        <v>1</v>
      </c>
      <c r="X6">
        <v>2</v>
      </c>
      <c r="Y6">
        <v>1</v>
      </c>
      <c r="Z6">
        <v>1</v>
      </c>
      <c r="AA6">
        <v>1</v>
      </c>
      <c r="AB6">
        <v>1</v>
      </c>
      <c r="AC6">
        <v>1</v>
      </c>
      <c r="AD6">
        <v>1</v>
      </c>
      <c r="AE6">
        <v>0</v>
      </c>
      <c r="AF6" t="s">
        <v>51</v>
      </c>
      <c r="AG6" t="s">
        <v>51</v>
      </c>
      <c r="AH6">
        <v>1</v>
      </c>
      <c r="AI6">
        <v>1</v>
      </c>
      <c r="AJ6">
        <v>1</v>
      </c>
      <c r="AK6">
        <v>1</v>
      </c>
      <c r="AL6">
        <v>1</v>
      </c>
      <c r="AM6">
        <v>1</v>
      </c>
      <c r="AN6">
        <v>0</v>
      </c>
      <c r="AO6" t="s">
        <v>51</v>
      </c>
      <c r="AP6" t="s">
        <v>51</v>
      </c>
      <c r="AQ6">
        <v>1</v>
      </c>
      <c r="AR6">
        <v>1</v>
      </c>
      <c r="AS6">
        <v>1</v>
      </c>
      <c r="AT6">
        <v>1</v>
      </c>
      <c r="AU6">
        <v>1</v>
      </c>
      <c r="AV6">
        <v>2</v>
      </c>
      <c r="AW6" t="s">
        <v>294</v>
      </c>
    </row>
    <row r="7" spans="1:49">
      <c r="A7">
        <v>200</v>
      </c>
      <c r="B7" t="s">
        <v>289</v>
      </c>
      <c r="C7">
        <v>38310241</v>
      </c>
      <c r="D7" t="s">
        <v>298</v>
      </c>
      <c r="E7">
        <v>2</v>
      </c>
      <c r="F7">
        <v>0</v>
      </c>
      <c r="G7">
        <v>1</v>
      </c>
      <c r="H7">
        <v>1</v>
      </c>
      <c r="I7">
        <v>1</v>
      </c>
      <c r="J7">
        <v>1</v>
      </c>
      <c r="K7">
        <v>1</v>
      </c>
      <c r="L7">
        <v>1</v>
      </c>
      <c r="M7">
        <v>1</v>
      </c>
      <c r="N7">
        <v>1</v>
      </c>
      <c r="O7">
        <v>1</v>
      </c>
      <c r="P7">
        <v>1</v>
      </c>
      <c r="Q7">
        <v>1</v>
      </c>
      <c r="R7">
        <v>1</v>
      </c>
      <c r="S7">
        <v>0</v>
      </c>
      <c r="T7" t="s">
        <v>51</v>
      </c>
      <c r="U7" t="s">
        <v>51</v>
      </c>
      <c r="V7">
        <v>0</v>
      </c>
      <c r="W7" t="s">
        <v>51</v>
      </c>
      <c r="X7" t="s">
        <v>51</v>
      </c>
      <c r="Y7">
        <v>1</v>
      </c>
      <c r="Z7">
        <v>2</v>
      </c>
      <c r="AA7">
        <v>1</v>
      </c>
      <c r="AB7">
        <v>1</v>
      </c>
      <c r="AC7">
        <v>1</v>
      </c>
      <c r="AD7">
        <v>1</v>
      </c>
      <c r="AE7">
        <v>1</v>
      </c>
      <c r="AF7">
        <v>2</v>
      </c>
      <c r="AG7">
        <v>1</v>
      </c>
      <c r="AH7">
        <v>1</v>
      </c>
      <c r="AI7">
        <v>1</v>
      </c>
      <c r="AJ7">
        <v>1</v>
      </c>
      <c r="AK7">
        <v>1</v>
      </c>
      <c r="AL7">
        <v>3</v>
      </c>
      <c r="AM7">
        <v>1</v>
      </c>
      <c r="AN7">
        <v>0</v>
      </c>
      <c r="AO7" t="s">
        <v>51</v>
      </c>
      <c r="AP7" t="s">
        <v>51</v>
      </c>
      <c r="AQ7">
        <v>1</v>
      </c>
      <c r="AR7">
        <v>1</v>
      </c>
      <c r="AS7">
        <v>1</v>
      </c>
      <c r="AT7">
        <v>1</v>
      </c>
      <c r="AU7">
        <v>1</v>
      </c>
      <c r="AV7">
        <v>1</v>
      </c>
    </row>
  </sheetData>
  <pageMargins left="0.7" right="0.7" top="0.75" bottom="0.75" header="0.3" footer="0.3"/>
  <pageSetup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Validation</vt:lpstr>
      <vt:lpstr>Legend</vt:lpstr>
      <vt:lpstr>AI_Has_3 </vt:lpstr>
      <vt:lpstr>Failure_Analysis</vt:lpstr>
      <vt:lpstr>Human_Has_3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 Robert</dc:creator>
  <cp:keywords/>
  <dc:description/>
  <cp:lastModifiedBy>Robert James</cp:lastModifiedBy>
  <cp:revision/>
  <cp:lastPrinted>2026-05-11T13:08:07Z</cp:lastPrinted>
  <dcterms:created xsi:type="dcterms:W3CDTF">2025-12-23T15:30:07Z</dcterms:created>
  <dcterms:modified xsi:type="dcterms:W3CDTF">2026-05-11T16:53:10Z</dcterms:modified>
  <cp:category/>
  <cp:contentStatus/>
</cp:coreProperties>
</file>